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intel\Desktop\"/>
    </mc:Choice>
  </mc:AlternateContent>
  <bookViews>
    <workbookView xWindow="0" yWindow="0" windowWidth="23040" windowHeight="9072" firstSheet="1" activeTab="6"/>
  </bookViews>
  <sheets>
    <sheet name="comprehensive_mutual_funds_data" sheetId="1" r:id="rId1"/>
    <sheet name="column chart" sheetId="17" r:id="rId2"/>
    <sheet name="Tree map" sheetId="18" r:id="rId3"/>
    <sheet name="line chart" sheetId="19" r:id="rId4"/>
    <sheet name="Pie chart" sheetId="20" r:id="rId5"/>
    <sheet name="Doughnut chart" sheetId="21" r:id="rId6"/>
    <sheet name="Dashboard" sheetId="22" r:id="rId7"/>
    <sheet name="kpi" sheetId="16" r:id="rId8"/>
  </sheets>
  <definedNames>
    <definedName name="_xlchart.0" hidden="1">'Tree map'!$E$12:$E$22</definedName>
    <definedName name="_xlchart.1" hidden="1">'Tree map'!$F$12:$F$22</definedName>
    <definedName name="_xlchart.v1.0" hidden="1">'Tree map'!$E$12:$E$22</definedName>
    <definedName name="_xlchart.v1.1" hidden="1">'Tree map'!$F$12:$F$22</definedName>
    <definedName name="_xlchart.v1.2" hidden="1">'Tree map'!$E$12:$E$22</definedName>
    <definedName name="_xlchart.v1.3" hidden="1">'Tree map'!$F$12:$F$22</definedName>
    <definedName name="_xlcn.WorksheetConnection_Copyofcomprehensive_mutual_funds_data1.xlsxtable1" hidden="1">Table1[]</definedName>
    <definedName name="Slicer_category">#N/A</definedName>
    <definedName name="Slicer_fund_age_yr">#N/A</definedName>
    <definedName name="Slicer_min_sip">#N/A</definedName>
  </definedNames>
  <calcPr calcId="0"/>
  <pivotCaches>
    <pivotCache cacheId="0" r:id="rId9"/>
    <pivotCache cacheId="1" r:id="rId10"/>
    <pivotCache cacheId="2" r:id="rId11"/>
    <pivotCache cacheId="3" r:id="rId12"/>
    <pivotCache cacheId="4" r:id="rId13"/>
    <pivotCache cacheId="5" r:id="rId14"/>
    <pivotCache cacheId="6" r:id="rId15"/>
  </pivotCaches>
  <extLst>
    <ext xmlns:x14="http://schemas.microsoft.com/office/spreadsheetml/2009/9/main" uri="{876F7934-8845-4945-9796-88D515C7AA90}">
      <x14:pivotCaches>
        <pivotCache cacheId="7"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opy of comprehensive_mutual_funds_data(1).xlsx!table1"/>
        </x15:modelTables>
      </x15:dataModel>
    </ext>
  </extLst>
</workbook>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Copy of comprehensive_mutual_funds_data(1).xlsx!table1" type="102" refreshedVersion="7" minRefreshableVersion="5">
    <extLst>
      <ext xmlns:x15="http://schemas.microsoft.com/office/spreadsheetml/2010/11/main" uri="{DE250136-89BD-433C-8126-D09CA5730AF9}">
        <x15:connection id="table1" autoDelete="1">
          <x15:rangePr sourceName="_xlcn.WorksheetConnection_Copyofcomprehensive_mutual_funds_data1.xlsxtable1"/>
        </x15:connection>
      </ext>
    </extLst>
  </connection>
</connections>
</file>

<file path=xl/sharedStrings.xml><?xml version="1.0" encoding="utf-8"?>
<sst xmlns="http://schemas.openxmlformats.org/spreadsheetml/2006/main" count="2628" uniqueCount="802">
  <si>
    <t>scheme_name</t>
  </si>
  <si>
    <t>min_sip</t>
  </si>
  <si>
    <t>min_lumpsum</t>
  </si>
  <si>
    <t>expense_ratio</t>
  </si>
  <si>
    <t>fund_size_cr</t>
  </si>
  <si>
    <t>fund_age_yr</t>
  </si>
  <si>
    <t>fund_manager</t>
  </si>
  <si>
    <t>sortino</t>
  </si>
  <si>
    <t>alpha</t>
  </si>
  <si>
    <t>sd</t>
  </si>
  <si>
    <t>beta</t>
  </si>
  <si>
    <t>sharpe</t>
  </si>
  <si>
    <t>risk_level</t>
  </si>
  <si>
    <t>amc_name</t>
  </si>
  <si>
    <t>rating</t>
  </si>
  <si>
    <t>category</t>
  </si>
  <si>
    <t>sub_category</t>
  </si>
  <si>
    <t>returns_1yr</t>
  </si>
  <si>
    <t>returns_3yr</t>
  </si>
  <si>
    <t>returns_5yr</t>
  </si>
  <si>
    <t>Aditya Birla SL Active Debt Multi-Mgr FoF-Dir Growth</t>
  </si>
  <si>
    <t>Kaustubh Gupta</t>
  </si>
  <si>
    <t>Aditya Birla Sun Life Mutual Fund</t>
  </si>
  <si>
    <t>Other</t>
  </si>
  <si>
    <t>FoFs Domestic</t>
  </si>
  <si>
    <t>Aditya Birla SL Arbitrage Fund</t>
  </si>
  <si>
    <t>Lovelish Solanki</t>
  </si>
  <si>
    <t>Hybrid</t>
  </si>
  <si>
    <t>Arbitrage Mutual Funds</t>
  </si>
  <si>
    <t>Solution Oriented</t>
  </si>
  <si>
    <t>Childrens Funds</t>
  </si>
  <si>
    <t>Dynamic Asset Allocation or Balanced Advantage</t>
  </si>
  <si>
    <t>Equity</t>
  </si>
  <si>
    <t>Sectoral / Thematic Mutual Funds</t>
  </si>
  <si>
    <t>Debt</t>
  </si>
  <si>
    <t>Banking and PSU Mutual Funds</t>
  </si>
  <si>
    <t>-</t>
  </si>
  <si>
    <t>Corporate Bond Mutual Funds</t>
  </si>
  <si>
    <t>Credit Risk Funds</t>
  </si>
  <si>
    <t>Dividend Yield Funds</t>
  </si>
  <si>
    <t>Dynamic Bond</t>
  </si>
  <si>
    <t>Large &amp; Mid Cap Funds</t>
  </si>
  <si>
    <t>Aggressive Hybrid Mutual Funds</t>
  </si>
  <si>
    <t>Equity Savings Mutual Funds</t>
  </si>
  <si>
    <t>Flexi Cap Funds</t>
  </si>
  <si>
    <t>Floater Mutual Funds</t>
  </si>
  <si>
    <t>Focused Funds</t>
  </si>
  <si>
    <t>Large Cap Mutual Funds</t>
  </si>
  <si>
    <t>FoFs Overseas</t>
  </si>
  <si>
    <t>Gilt Mutual Funds</t>
  </si>
  <si>
    <t>Medium to Long Duration Funds</t>
  </si>
  <si>
    <t>Liquid Mutual Funds</t>
  </si>
  <si>
    <t>Low Duration Funds</t>
  </si>
  <si>
    <t>Medium Duration Funds</t>
  </si>
  <si>
    <t>Mid Cap Mutual Funds</t>
  </si>
  <si>
    <t>Money Market Funds</t>
  </si>
  <si>
    <t>Index Funds</t>
  </si>
  <si>
    <t>Overnight Mutual Funds</t>
  </si>
  <si>
    <t>Value Funds</t>
  </si>
  <si>
    <t>Conservative Hybrid Mutual Funds</t>
  </si>
  <si>
    <t>Retirement Funds</t>
  </si>
  <si>
    <t>Ultra Short Duration Funds</t>
  </si>
  <si>
    <t>Short Duration Funds</t>
  </si>
  <si>
    <t>Small Cap Mutual Funds</t>
  </si>
  <si>
    <t>ELSS Mutual Funds</t>
  </si>
  <si>
    <t>AXIS All Seasons Debt Fund</t>
  </si>
  <si>
    <t>R Sivakumar</t>
  </si>
  <si>
    <t>Axis Mutual Fund</t>
  </si>
  <si>
    <t>Ashish Naik</t>
  </si>
  <si>
    <t>Anupam Tiwari</t>
  </si>
  <si>
    <t>Aditya Pagaria</t>
  </si>
  <si>
    <t>Devang Shah</t>
  </si>
  <si>
    <t>Jinesh Gopani</t>
  </si>
  <si>
    <t>Fixed Maturity Plans</t>
  </si>
  <si>
    <t>AXIS Nifty 100 Index Fund</t>
  </si>
  <si>
    <t>AXIS Retirement Savings Fund</t>
  </si>
  <si>
    <t>AXIS Short Term Fund</t>
  </si>
  <si>
    <t>AXIS Small Cap Fund</t>
  </si>
  <si>
    <t>AXIS Strategic Bond Fund</t>
  </si>
  <si>
    <t>AXIS Treasury Advantage Fund</t>
  </si>
  <si>
    <t>AXIS Triple Advantage Fund</t>
  </si>
  <si>
    <t>Multi Asset Allocation Mutual Funds</t>
  </si>
  <si>
    <t>AXIS Ultra Short Term Fund</t>
  </si>
  <si>
    <t>Bandhan Asset Allocation FoF â€“ Moderate â€“ Direct Growth</t>
  </si>
  <si>
    <t>Sachin Relekar</t>
  </si>
  <si>
    <t>Bandhan Mutual Fund</t>
  </si>
  <si>
    <t>Bandhan FTP â€“ Sr.179</t>
  </si>
  <si>
    <t>Harshal Joshi</t>
  </si>
  <si>
    <t>Bank of India Arbitrage Fund</t>
  </si>
  <si>
    <t>Alok Singh</t>
  </si>
  <si>
    <t>Bank of India Mutual Fund</t>
  </si>
  <si>
    <t>Mithraem Bharucha</t>
  </si>
  <si>
    <t>Bank of India Midcap Tax Fund</t>
  </si>
  <si>
    <t>Dhruv Bhatia</t>
  </si>
  <si>
    <t>Bank of India Overnight Fund</t>
  </si>
  <si>
    <t>Bank of India Short Term Income â€“ Direct Growth</t>
  </si>
  <si>
    <t>Bank of India Small Cap Fund</t>
  </si>
  <si>
    <t>Bank of India Tax Advantage Fund</t>
  </si>
  <si>
    <t>Bank of India Ultra Short Duration Fund</t>
  </si>
  <si>
    <t>Baroda BNP Paribas Aggressive Hybrid Fund</t>
  </si>
  <si>
    <t>Jitendra Sriram</t>
  </si>
  <si>
    <t>Baroda BNP Paribas Mutual Fund</t>
  </si>
  <si>
    <t>Baroda BNP Paribas Arbitrage Fund</t>
  </si>
  <si>
    <t>Neeraj Saxena</t>
  </si>
  <si>
    <t>Mayank Prakash</t>
  </si>
  <si>
    <t>Shiv Chanani</t>
  </si>
  <si>
    <t>Vikram Pamnani</t>
  </si>
  <si>
    <t>Baroda BNP Paribas Medium Duration Fund</t>
  </si>
  <si>
    <t>Baroda BNP Paribas Mid Cap Fund</t>
  </si>
  <si>
    <t>Baroda BNP Paribas Money Market Fund</t>
  </si>
  <si>
    <t>Multi Cap Funds</t>
  </si>
  <si>
    <t>BHARAT Bond FOF â€“ April 2025 â€“ Direct Growth</t>
  </si>
  <si>
    <t>Dhawal Dalal</t>
  </si>
  <si>
    <t>Edelweiss Mutual Fund</t>
  </si>
  <si>
    <t>Canara Robeco Bluechip Equity Fund</t>
  </si>
  <si>
    <t>Shridatta Bhandwaldar</t>
  </si>
  <si>
    <t>Canara Robeco Mutual Fund</t>
  </si>
  <si>
    <t>Canara Robeco Conservative Hybrid Fund</t>
  </si>
  <si>
    <t>Avnish Jain</t>
  </si>
  <si>
    <t>Canara Robeco Consumer Trends Fund</t>
  </si>
  <si>
    <t>Canara Robeco Corporate Bond Fund</t>
  </si>
  <si>
    <t>Canara Robeco Dynamic Bond Fund</t>
  </si>
  <si>
    <t>Kunal Jain</t>
  </si>
  <si>
    <t>Canara Robeco Emerging Equities â€“ Direct Growth</t>
  </si>
  <si>
    <t>Canara Robeco Equity Hybrid Fund</t>
  </si>
  <si>
    <t>Canara Robeco Equity Tax Saver Fund</t>
  </si>
  <si>
    <t>Vishal Mishra</t>
  </si>
  <si>
    <t>Suman Prasad</t>
  </si>
  <si>
    <t>Canara Robeco Short Duration Fund</t>
  </si>
  <si>
    <t>Canara Robeco Small Cap Fund</t>
  </si>
  <si>
    <t>Canara Robeco Ultra Short Term Fund</t>
  </si>
  <si>
    <t>DSP Arbitrage Fund</t>
  </si>
  <si>
    <t>Kedar Karnik</t>
  </si>
  <si>
    <t>DSP Mutual Fund</t>
  </si>
  <si>
    <t>DSP Banking &amp; Psu Debt Fund</t>
  </si>
  <si>
    <t>Vikram Chopra</t>
  </si>
  <si>
    <t>DSP Bond Fund</t>
  </si>
  <si>
    <t>Vivek Ramakrishnan</t>
  </si>
  <si>
    <t>DSP Corporate Bond Fund</t>
  </si>
  <si>
    <t>DSP Credit Risk Fund</t>
  </si>
  <si>
    <t>Laukik Bagwe</t>
  </si>
  <si>
    <t>DSP Dynamic Asset Allocation Fund</t>
  </si>
  <si>
    <t>Atul Bhole</t>
  </si>
  <si>
    <t>DSP Equity &amp; Bond Fund</t>
  </si>
  <si>
    <t>DSP Equity Opportunities Fund</t>
  </si>
  <si>
    <t>Rohit Singhania</t>
  </si>
  <si>
    <t>DSP Equity Savings Fund</t>
  </si>
  <si>
    <t>DSP Flexi Cap Fund</t>
  </si>
  <si>
    <t>Vinit Sambre</t>
  </si>
  <si>
    <t>Anil Ghelani</t>
  </si>
  <si>
    <t>DSP Nifty 50 Index Fund</t>
  </si>
  <si>
    <t>DSP Nifty Next 50 Index Fund</t>
  </si>
  <si>
    <t>DSP Overnight Fund</t>
  </si>
  <si>
    <t>DSP Regular Savings Fund</t>
  </si>
  <si>
    <t>DSP Savings Fund</t>
  </si>
  <si>
    <t>DSP Short Term Fund</t>
  </si>
  <si>
    <t>DSP Small Cap Fund</t>
  </si>
  <si>
    <t>Edelweiss Aggressive Hybrid Fund</t>
  </si>
  <si>
    <t>Bharat Lahoti</t>
  </si>
  <si>
    <t>Edelweiss Arbitrage Fund</t>
  </si>
  <si>
    <t>Bhavesh Jain</t>
  </si>
  <si>
    <t>Edelweiss Balanced Advantage Fund</t>
  </si>
  <si>
    <t>Edelweiss Banking &amp; Psu Debt Fund</t>
  </si>
  <si>
    <t>Edelweiss Equity Savings Fund</t>
  </si>
  <si>
    <t>Edelweiss Europe Dynamic Equity Offshore â€“ Dir Growth</t>
  </si>
  <si>
    <t>Edelweiss Flexi Cap Fund</t>
  </si>
  <si>
    <t>Trideep Bhattacharya</t>
  </si>
  <si>
    <t>Edelweiss Govt Securities Fund</t>
  </si>
  <si>
    <t>Edelweiss Greater China Equity Off-Shore Fund</t>
  </si>
  <si>
    <t>Edelweiss Large &amp; Mid Cap Fund</t>
  </si>
  <si>
    <t>Abhishek Gupta</t>
  </si>
  <si>
    <t>Franklin Build India Fund</t>
  </si>
  <si>
    <t>Ajay Argal</t>
  </si>
  <si>
    <t>Franklin Templeton Mutual Fund</t>
  </si>
  <si>
    <t>Franklin India Banking &amp; PSU Debt Fund</t>
  </si>
  <si>
    <t>Umesh Sharma</t>
  </si>
  <si>
    <t>Franklin India Bluechip Fund</t>
  </si>
  <si>
    <t>Anand Radhakrishnan</t>
  </si>
  <si>
    <t>Franklin India Corporate Debt Fund</t>
  </si>
  <si>
    <t>Santosh Kamath</t>
  </si>
  <si>
    <t>Franklin India Debt Hybrid Fund</t>
  </si>
  <si>
    <t>Rajasa Kakulavarapu</t>
  </si>
  <si>
    <t>Franklin India Dynamic Asset Allocation FoFs-Dir-G</t>
  </si>
  <si>
    <t>Franklin India Equity Advantage Fund</t>
  </si>
  <si>
    <t>R Janakiraman</t>
  </si>
  <si>
    <t>Franklin India Equity Hybrid Fund</t>
  </si>
  <si>
    <t>Franklin India Equity Savings Fund</t>
  </si>
  <si>
    <t>Franklin India Feeder â€“ Franklin U.S. Opp.-Dir Growth</t>
  </si>
  <si>
    <t>Sandeep Manam</t>
  </si>
  <si>
    <t>Franklin India Flexi Cap Fund</t>
  </si>
  <si>
    <t>Franklin India Floating Rate Fund</t>
  </si>
  <si>
    <t>Pallab Roy</t>
  </si>
  <si>
    <t>Franklin India Focused Equity Fund</t>
  </si>
  <si>
    <t>Franklin India G-Sec Fund</t>
  </si>
  <si>
    <t>Sachin Padwal Desai</t>
  </si>
  <si>
    <t>HDFC Mutual Fund</t>
  </si>
  <si>
    <t>Gopal Agrawal</t>
  </si>
  <si>
    <t>Anil Bamboli</t>
  </si>
  <si>
    <t>Chirag Setalvad</t>
  </si>
  <si>
    <t>Anupam Joshi</t>
  </si>
  <si>
    <t>Shobhit Mehrotra</t>
  </si>
  <si>
    <t>Roshi Jain</t>
  </si>
  <si>
    <t>HDFC Floating Rate Debt Fund</t>
  </si>
  <si>
    <t>HDFC Focused 30 Fund</t>
  </si>
  <si>
    <t>HDFC Gilt Fund</t>
  </si>
  <si>
    <t>HDFC Gold Fund</t>
  </si>
  <si>
    <t>Nirman Morakhia</t>
  </si>
  <si>
    <t>HDFC Housing Opportunities Fund</t>
  </si>
  <si>
    <t>Rakesh Vyas</t>
  </si>
  <si>
    <t>HDFC Hybrid Debt Fund</t>
  </si>
  <si>
    <t>HDFC Hybrid Equity Fund</t>
  </si>
  <si>
    <t>HDFC Income Fund</t>
  </si>
  <si>
    <t>HDFC Index Fund</t>
  </si>
  <si>
    <t>HDFC Infrastructure Fund</t>
  </si>
  <si>
    <t>HDFC Large and Mid Cap Fund</t>
  </si>
  <si>
    <t>HDFC Liquid Fund</t>
  </si>
  <si>
    <t>HDFC Low Duration Fund</t>
  </si>
  <si>
    <t>HDFC Medium Term Debt Fund</t>
  </si>
  <si>
    <t>HDFC Mid-Cap Opportunities Fund</t>
  </si>
  <si>
    <t>HDFC Money Market Fund</t>
  </si>
  <si>
    <t>Vikas Agrawal</t>
  </si>
  <si>
    <t>Shriram Ramanathan</t>
  </si>
  <si>
    <t>HSBC Mutual Fund</t>
  </si>
  <si>
    <t>HSBC Arbitrage Fund</t>
  </si>
  <si>
    <t>Ritesh Jain</t>
  </si>
  <si>
    <t>HSBC Asia Pacific (Ex Japan) DYF â€“ Direct Growth</t>
  </si>
  <si>
    <t>Sonal Gupta</t>
  </si>
  <si>
    <t>HSBC Balanced Advantage Fund</t>
  </si>
  <si>
    <t>HSBC Banking and PSU Debt Fund</t>
  </si>
  <si>
    <t>Jalpan Shah</t>
  </si>
  <si>
    <t>HSBC Business Cycles Fund</t>
  </si>
  <si>
    <t>Venugopal Manghat</t>
  </si>
  <si>
    <t>HSBC Conservative Hybrid Fund</t>
  </si>
  <si>
    <t>HSBC Corporate Bond Fund</t>
  </si>
  <si>
    <t>HSBC Credit Risk Fund</t>
  </si>
  <si>
    <t>HSBC Dynamic Bond Fund</t>
  </si>
  <si>
    <t>HSBC ELSS Fund</t>
  </si>
  <si>
    <t>Cheenu Gupta</t>
  </si>
  <si>
    <t>HSBC Equity Hybrid Fund</t>
  </si>
  <si>
    <t>Neelotpal Sahai</t>
  </si>
  <si>
    <t>HSBC Equity Savings Fund</t>
  </si>
  <si>
    <t>HSBC Flexi Cap Fund</t>
  </si>
  <si>
    <t>Vihang Naik</t>
  </si>
  <si>
    <t>HSBC Flexi Debt Fund</t>
  </si>
  <si>
    <t>HSBC Gilt Fund</t>
  </si>
  <si>
    <t>HSBC Infrastructure Fund</t>
  </si>
  <si>
    <t>HSBC Large &amp; Mid Cap Fund</t>
  </si>
  <si>
    <t>HSBC Large Cap Fund</t>
  </si>
  <si>
    <t>HSBC Liquid Fund</t>
  </si>
  <si>
    <t>Kapil Punjabi</t>
  </si>
  <si>
    <t>HSBC Low Duration Fund</t>
  </si>
  <si>
    <t>ICICI Pru All Seasons Bond Fund</t>
  </si>
  <si>
    <t>Manish Banthia</t>
  </si>
  <si>
    <t>ICICI Prudential Mutual Fund</t>
  </si>
  <si>
    <t>ICICI Pru Asset Allocator Fund</t>
  </si>
  <si>
    <t>Dharmesh Kakkad</t>
  </si>
  <si>
    <t>ICICI Pru Balanced Advantage Fund</t>
  </si>
  <si>
    <t>Sankaran Naren</t>
  </si>
  <si>
    <t>ICICI Pru Banking &amp; Financial Services â€“ DirectGrowth</t>
  </si>
  <si>
    <t>Roshan Chutkey</t>
  </si>
  <si>
    <t>ICICI Pru Banking &amp; PSU Debt Fund</t>
  </si>
  <si>
    <t>Rahul Goswami</t>
  </si>
  <si>
    <t>ICICI Pru BHARAT 22 FOF  â€“ Direct Growth</t>
  </si>
  <si>
    <t>Kayzad Eghlim</t>
  </si>
  <si>
    <t>ICICI Pru Bharat Consumption Fund</t>
  </si>
  <si>
    <t>ICICI Pru Bluechip Fund</t>
  </si>
  <si>
    <t>Anish Tawakley</t>
  </si>
  <si>
    <t>ICICI Pru Bond Fund</t>
  </si>
  <si>
    <t>ICICI Pru Child Care Fund</t>
  </si>
  <si>
    <t>ICICI Pru Corporate Bond Fund</t>
  </si>
  <si>
    <t>ICICI Pru Credit Risk Fund</t>
  </si>
  <si>
    <t>ICICI Pru Debt Management Fund</t>
  </si>
  <si>
    <t>ICICI Pru Dividend Yield Equity Fund</t>
  </si>
  <si>
    <t>Mittul Kalawadia</t>
  </si>
  <si>
    <t>ICICI Pru Equity &amp; Debt Fund</t>
  </si>
  <si>
    <t>ICICI Pru Equity â€“ Arbitrage Fund</t>
  </si>
  <si>
    <t>Alok Ranjan</t>
  </si>
  <si>
    <t>IDBI Mutual Fund</t>
  </si>
  <si>
    <t>IDBI Credit Risk Fund</t>
  </si>
  <si>
    <t>Raju Sharma</t>
  </si>
  <si>
    <t>IDBI Dividend Yield Fund</t>
  </si>
  <si>
    <t>IDBI Equity Advantage Fund</t>
  </si>
  <si>
    <t>IDBI Equity Savings Fund</t>
  </si>
  <si>
    <t>IDBI Focused 30 Equity Fund</t>
  </si>
  <si>
    <t>IDBI Gold Fund</t>
  </si>
  <si>
    <t>Nitin Dattaram Dalvi</t>
  </si>
  <si>
    <t>IDBI Healthcare Fund</t>
  </si>
  <si>
    <t>IDBI Hybrid Equity Fund</t>
  </si>
  <si>
    <t>IDBI India Top 100 Equity Fund</t>
  </si>
  <si>
    <t>IDBI Liquid Fund</t>
  </si>
  <si>
    <t>IDBI Long Term Value Fund</t>
  </si>
  <si>
    <t>IDBI Midcap Fund</t>
  </si>
  <si>
    <t>IDBI Nifty 50 Index Fund</t>
  </si>
  <si>
    <t>Nisha Sharma</t>
  </si>
  <si>
    <t>IDBI Nifty Next 50 Index Fund</t>
  </si>
  <si>
    <t>IDBI Short Term Bond Fund</t>
  </si>
  <si>
    <t>IDBI Small Cap Fund</t>
  </si>
  <si>
    <t>IDBI Ultra Short Term Fund</t>
  </si>
  <si>
    <t>IIFL Dynamic Bond Fund</t>
  </si>
  <si>
    <t>Milan Mody</t>
  </si>
  <si>
    <t>IIFL Mutual Fund</t>
  </si>
  <si>
    <t>IIFL Focused Equity Fund</t>
  </si>
  <si>
    <t>Mayur Patel</t>
  </si>
  <si>
    <t>IIFL Liquid Fund</t>
  </si>
  <si>
    <t>Indiabulls Arbitrage Fund</t>
  </si>
  <si>
    <t>Sumit Bhatnagar</t>
  </si>
  <si>
    <t>Indiabulls Mutual Fund</t>
  </si>
  <si>
    <t>Indiabulls Bluechip Fund</t>
  </si>
  <si>
    <t>Indiabulls Dynamic Bond Fund</t>
  </si>
  <si>
    <t>Karan Singh</t>
  </si>
  <si>
    <t>Indiabulls Equity Hybrid Fund</t>
  </si>
  <si>
    <t>Indiabulls Liquid Fund</t>
  </si>
  <si>
    <t>Indiabulls Overnight Fund</t>
  </si>
  <si>
    <t>Indiabulls Short Term Fund</t>
  </si>
  <si>
    <t>Indiabulls Tax Savings Fund</t>
  </si>
  <si>
    <t>Indiabulls Value Fund</t>
  </si>
  <si>
    <t>Invesco India â€“ Invesco GEI Fund</t>
  </si>
  <si>
    <t>Amit Nigam</t>
  </si>
  <si>
    <t>Invesco Mutual Fund</t>
  </si>
  <si>
    <t>Invesco India Arbitrage Fund</t>
  </si>
  <si>
    <t>Deepak Gupta</t>
  </si>
  <si>
    <t>Invesco India Banking &amp; PSU Debt Fund</t>
  </si>
  <si>
    <t>Vikas Garg</t>
  </si>
  <si>
    <t>Invesco India Contra Fund</t>
  </si>
  <si>
    <t>Taher Badshah</t>
  </si>
  <si>
    <t>Contra Funds</t>
  </si>
  <si>
    <t>Invesco India Corporate Bond Fund</t>
  </si>
  <si>
    <t>Invesco India Credit Risk Fund</t>
  </si>
  <si>
    <t>Invesco India Dynamic Equity Fund</t>
  </si>
  <si>
    <t>Amit Ganatra</t>
  </si>
  <si>
    <t>Invesco India Equity &amp; Bond Fund</t>
  </si>
  <si>
    <t>Dhimant Kothari</t>
  </si>
  <si>
    <t>Invesco India Equity Savings Fund</t>
  </si>
  <si>
    <t>Invesco India Financial Services Fund</t>
  </si>
  <si>
    <t>Hiten Jain</t>
  </si>
  <si>
    <t>Invesco India Gilt Fund</t>
  </si>
  <si>
    <t>ITI Arbitrage Fund</t>
  </si>
  <si>
    <t>Vikrant Mehta</t>
  </si>
  <si>
    <t>ITI Mutual Fund</t>
  </si>
  <si>
    <t>ITI Balanced Advantage Fund</t>
  </si>
  <si>
    <t>Dhimant Shah</t>
  </si>
  <si>
    <t>ITI Banking &amp; PSU Debt Fund</t>
  </si>
  <si>
    <t>ITI Dynamic Bond Fund</t>
  </si>
  <si>
    <t>ITI Liquid Fund</t>
  </si>
  <si>
    <t>ITI Long Term Equity Fund</t>
  </si>
  <si>
    <t>ITI Overnight Fund</t>
  </si>
  <si>
    <t>ITI Small Cap Fund</t>
  </si>
  <si>
    <t>ITI Ultra Short Duration Fund</t>
  </si>
  <si>
    <t>JM Arbitrage Fund</t>
  </si>
  <si>
    <t>Asit Bhandarkar</t>
  </si>
  <si>
    <t>JM Financial Mutual Fund</t>
  </si>
  <si>
    <t>JM Dynamic Bond Fund</t>
  </si>
  <si>
    <t>Gurvinder Singh Wasan</t>
  </si>
  <si>
    <t>JM Equity Hybrid Fund</t>
  </si>
  <si>
    <t>JM Flexicap Fund</t>
  </si>
  <si>
    <t>JM Focused Fund</t>
  </si>
  <si>
    <t>JM Large Cap Fund</t>
  </si>
  <si>
    <t>JM Liquid Fund</t>
  </si>
  <si>
    <t>Shalini Tibrewala</t>
  </si>
  <si>
    <t>JM Low Duration Fund</t>
  </si>
  <si>
    <t>JM Medium to Long Duration Fund</t>
  </si>
  <si>
    <t>JM Tax Gain Fund</t>
  </si>
  <si>
    <t>JM Value Fund</t>
  </si>
  <si>
    <t>Kotak Balanced Advantage Fund</t>
  </si>
  <si>
    <t>Harish Krishnan</t>
  </si>
  <si>
    <t>Kotak Mahindra Mutual Fund</t>
  </si>
  <si>
    <t>Kotak Banking and PSU Debt Fund</t>
  </si>
  <si>
    <t>Deepak Agrawal</t>
  </si>
  <si>
    <t>Kotak Bluechip Fund</t>
  </si>
  <si>
    <t>Kotak Bond â€“ Short Term Fund</t>
  </si>
  <si>
    <t>Kotak Bond Fund</t>
  </si>
  <si>
    <t>Abhishek Bisen</t>
  </si>
  <si>
    <t>Kotak Corporate Bond Fund</t>
  </si>
  <si>
    <t>Kotak Credit Risk Fund</t>
  </si>
  <si>
    <t>Kotak Debt Hybrid Fund</t>
  </si>
  <si>
    <t>Devender Singhal</t>
  </si>
  <si>
    <t>Kotak Dynamic Bond Fund</t>
  </si>
  <si>
    <t>Kotak Emerging Equity Fund</t>
  </si>
  <si>
    <t>Pankaj Tibrewal</t>
  </si>
  <si>
    <t>Kotak Equity Arbitrage Fund</t>
  </si>
  <si>
    <t>Hiten Shah</t>
  </si>
  <si>
    <t>Kotak Equity Hybrid Fund</t>
  </si>
  <si>
    <t>Kotak Equity Opportunities â€“ Direct Growth</t>
  </si>
  <si>
    <t>Harsha Upadhyaya</t>
  </si>
  <si>
    <t>Kotak Equity Savings Fund</t>
  </si>
  <si>
    <t>Kotak Flexi Cap Fund</t>
  </si>
  <si>
    <t>Kotak Floating Rate Fund</t>
  </si>
  <si>
    <t>Kotak Focused Equity Fund</t>
  </si>
  <si>
    <t>Shibani Kurian</t>
  </si>
  <si>
    <t>Kotak Gilt â€“ Invest Plan â€“ Direct Growth</t>
  </si>
  <si>
    <t>Kotak Gilt Invest â€“ PF &amp; Trust Plan â€“ Direct Growth</t>
  </si>
  <si>
    <t>Kotak Gold Fund</t>
  </si>
  <si>
    <t>Kotak India EQ Contra Fund</t>
  </si>
  <si>
    <t>Kotak India Growth Fund</t>
  </si>
  <si>
    <t>Kotak Infrastructure &amp; Ecoc. Reform-SP-DirGrowth</t>
  </si>
  <si>
    <t>Kotak Liquid Fund</t>
  </si>
  <si>
    <t>Kotak Low Duration Fund</t>
  </si>
  <si>
    <t>Kotak Medium Term Fund</t>
  </si>
  <si>
    <t>Kotak Money Market Fund</t>
  </si>
  <si>
    <t>Kotak Multi Asset Allocator FoF â€“ Dynamic â€“ Direct Growth</t>
  </si>
  <si>
    <t>Kotak Overnight Fund</t>
  </si>
  <si>
    <t>Kotak Savings Fund</t>
  </si>
  <si>
    <t>Kotak Small Cap Fund</t>
  </si>
  <si>
    <t>Kotak Tax Saver Fund</t>
  </si>
  <si>
    <t>L&amp;T Focused Equity Fund</t>
  </si>
  <si>
    <t>L&amp;T Mutual Fund</t>
  </si>
  <si>
    <t>L&amp;T India Large Cap Fund</t>
  </si>
  <si>
    <t>LIC MF Arbitrage Fund</t>
  </si>
  <si>
    <t>Jaiprakash Toshniwal</t>
  </si>
  <si>
    <t>LIC Mutual Fund</t>
  </si>
  <si>
    <t>LIC MF Banking &amp; Fina Serv Fund</t>
  </si>
  <si>
    <t>LIC MF Banking &amp; PSU Debt Fund</t>
  </si>
  <si>
    <t>Marzban Irani</t>
  </si>
  <si>
    <t>LIC MF Bond Fund</t>
  </si>
  <si>
    <t>LIC MF Childrenâ€™s Gift Fund</t>
  </si>
  <si>
    <t>Karan Desai</t>
  </si>
  <si>
    <t>LIC MF Debt Hybrid Fund</t>
  </si>
  <si>
    <t>LIC MF Equity Hybrid Fund</t>
  </si>
  <si>
    <t>LIC MF Flexi Cap Fund</t>
  </si>
  <si>
    <t>Amit Nadekar</t>
  </si>
  <si>
    <t>LIC MF G-Sec Fund</t>
  </si>
  <si>
    <t>LIC MF Infrastructure Fund</t>
  </si>
  <si>
    <t>Yogesh Patil</t>
  </si>
  <si>
    <t>LIC MF Large &amp; Mid Cap Fund</t>
  </si>
  <si>
    <t>Mahindra Manulife Aggressive Hybrid Fund</t>
  </si>
  <si>
    <t>Fatema Pacha</t>
  </si>
  <si>
    <t>Mahindra Manulife Mutual Fund</t>
  </si>
  <si>
    <t>Mahindra Manulife Consumption Fund</t>
  </si>
  <si>
    <t>Abhinav Khandelwal</t>
  </si>
  <si>
    <t>Mahindra Manulife Dynamic Bond Fund</t>
  </si>
  <si>
    <t>Rahul Pal</t>
  </si>
  <si>
    <t>Mahindra Manulife ELSS Fund</t>
  </si>
  <si>
    <t>Mahindra Manulife Equity Savings Fund</t>
  </si>
  <si>
    <t>Mahindra Manulife Large &amp; Mid Cap Fund</t>
  </si>
  <si>
    <t>Manish Lodha</t>
  </si>
  <si>
    <t>Mahindra Manulife Large Cap Fund</t>
  </si>
  <si>
    <t>Mahindra Manulife Liquid Fund</t>
  </si>
  <si>
    <t>Mahindra Manulife Low Duration Fund</t>
  </si>
  <si>
    <t>Mahindra Manulife Mid Cap Fund</t>
  </si>
  <si>
    <t>Mahindra Manulife Multi Cap Fund</t>
  </si>
  <si>
    <t>Mahindra Manulife Overnight Fund</t>
  </si>
  <si>
    <t>Mahindra Manulife Short Duration Fund</t>
  </si>
  <si>
    <t>Mahindra Manulife Ultra Short Duration Fund</t>
  </si>
  <si>
    <t>Mirae Asset Banking and PSU Debt Fund</t>
  </si>
  <si>
    <t>Basant Bafna</t>
  </si>
  <si>
    <t>Mirae Asset Mutual Fund</t>
  </si>
  <si>
    <t>Mirae Asset Cash Management Fund</t>
  </si>
  <si>
    <t>Abhishek Iyer</t>
  </si>
  <si>
    <t>Mirae Asset Corporate Bond Fund</t>
  </si>
  <si>
    <t>Mahendra Jajoo</t>
  </si>
  <si>
    <t>Mirae Asset Dynamic Bond Fund</t>
  </si>
  <si>
    <t>Amit Modani</t>
  </si>
  <si>
    <t>Mirae Asset Emerging Bluechip Fund</t>
  </si>
  <si>
    <t>Neelesh Surana</t>
  </si>
  <si>
    <t>Mirae Asset Equity Savings Fund</t>
  </si>
  <si>
    <t>Harshad Borawake</t>
  </si>
  <si>
    <t>Mirae Asset Focused Fund</t>
  </si>
  <si>
    <t>Gaurav Misra</t>
  </si>
  <si>
    <t>Mirae Asset Great Consumer Fund</t>
  </si>
  <si>
    <t>Ankit Jain</t>
  </si>
  <si>
    <t>Mirae Asset Healthcare Fund</t>
  </si>
  <si>
    <t>Vrijesh Kasera</t>
  </si>
  <si>
    <t>Mirae Asset Hybrid â€“ Equity Fund</t>
  </si>
  <si>
    <t>Motilal Oswal Balance Advantage Fund</t>
  </si>
  <si>
    <t>Santosh Singh</t>
  </si>
  <si>
    <t>Motilal Oswal Mutual Fund</t>
  </si>
  <si>
    <t>Motilal Oswal Equity Hybrid Fund</t>
  </si>
  <si>
    <t>Siddharth Bothra</t>
  </si>
  <si>
    <t>Motilal Oswal Flexi Cap Fund</t>
  </si>
  <si>
    <t>Motilal Oswal Focused Fund</t>
  </si>
  <si>
    <t>Motilal Oswal Large and Midcap Fund</t>
  </si>
  <si>
    <t>Aditya Khemani</t>
  </si>
  <si>
    <t>Motilal Oswal Liquid Fund</t>
  </si>
  <si>
    <t>Rakesh Shetty</t>
  </si>
  <si>
    <t>Motilal Oswal Long Term Equity Fund</t>
  </si>
  <si>
    <t>Motilal Oswal Midcap Fund</t>
  </si>
  <si>
    <t>Niket Shah</t>
  </si>
  <si>
    <t>Motilal Oswal Nasdaq 100 FOF â€“ Direct Growth</t>
  </si>
  <si>
    <t>Swapnil Mayekar</t>
  </si>
  <si>
    <t>Motilal Oswal Nifty 50 Index Fund</t>
  </si>
  <si>
    <t>Motilal Oswal Nifty 500 Index Fund</t>
  </si>
  <si>
    <t>Motilal Oswal Nifty Bank Index Fund</t>
  </si>
  <si>
    <t>Motilal Oswal Ultra Short Term Fund</t>
  </si>
  <si>
    <t>Navi 3 In 1 Fund</t>
  </si>
  <si>
    <t>Aditya Mulki</t>
  </si>
  <si>
    <t>Navi Mutual Fund</t>
  </si>
  <si>
    <t>Navi ELSS Tax Saver Fund</t>
  </si>
  <si>
    <t>Navi Equity Hybrid Fund</t>
  </si>
  <si>
    <t>Navi Flexi Cap Fund</t>
  </si>
  <si>
    <t>Navi Large &amp; Midcap Fund</t>
  </si>
  <si>
    <t>Navi Large Cap Equity Fund</t>
  </si>
  <si>
    <t>Navi Regular Savings Fund</t>
  </si>
  <si>
    <t>Surbhi Sharma</t>
  </si>
  <si>
    <t>Navi Ultra Short Term Fund</t>
  </si>
  <si>
    <t>Nippon India Arbitrage Fund</t>
  </si>
  <si>
    <t>Anand Devendra Gupta</t>
  </si>
  <si>
    <t>Nippon India Mutual Fund</t>
  </si>
  <si>
    <t>Nippon India Balanced Advantage Fund</t>
  </si>
  <si>
    <t>Amar Kalkundrikar</t>
  </si>
  <si>
    <t>Nippon India Banking &amp; PSU Debt Fund</t>
  </si>
  <si>
    <t>Pranay Sinha</t>
  </si>
  <si>
    <t>Nippon India Banking&amp;Financial Services-DirGrowth</t>
  </si>
  <si>
    <t>Vinay Sharma</t>
  </si>
  <si>
    <t>Nippon India Consumption Fund</t>
  </si>
  <si>
    <t>Nippon India Corporate Bond Fund</t>
  </si>
  <si>
    <t>Vivek Sharma</t>
  </si>
  <si>
    <t>Nippon India Credit Risk Fund</t>
  </si>
  <si>
    <t>Sushil Budhia</t>
  </si>
  <si>
    <t>Meenakshi Dawar</t>
  </si>
  <si>
    <t>Rupesh Patel</t>
  </si>
  <si>
    <t>Nippon India Small Cap Fund</t>
  </si>
  <si>
    <t>Samir Rachh</t>
  </si>
  <si>
    <t>Nippon India Strategic Debt Fund</t>
  </si>
  <si>
    <t>Nippon India Tax Saver (ELSS) Fund</t>
  </si>
  <si>
    <t>Nippon India US Equity Opportunities Fund</t>
  </si>
  <si>
    <t>Kinjal Desai</t>
  </si>
  <si>
    <t>Nippon India USD Fund</t>
  </si>
  <si>
    <t>Nippon India Value Fund</t>
  </si>
  <si>
    <t>Nippon India Vision Fund</t>
  </si>
  <si>
    <t>Parag Parikh Flexi Cap Fund</t>
  </si>
  <si>
    <t>Rajeev Thakkar</t>
  </si>
  <si>
    <t>PPFAS Mutual Fund</t>
  </si>
  <si>
    <t>Parag Parikh Liquid Fund</t>
  </si>
  <si>
    <t>Raj Mehta</t>
  </si>
  <si>
    <t>Parag Parikh Tax Saver Fund</t>
  </si>
  <si>
    <t>PGIM India Arbitrage Fund</t>
  </si>
  <si>
    <t>Utkarsh Katkoria</t>
  </si>
  <si>
    <t>PGIM India Mutual Fund</t>
  </si>
  <si>
    <t>PGIM India Banking&amp;PSU Debt Fund</t>
  </si>
  <si>
    <t>Puneet Pal</t>
  </si>
  <si>
    <t>PGIM India Corporate Bond Fund</t>
  </si>
  <si>
    <t>PGIM India Dynamic Bond Fund</t>
  </si>
  <si>
    <t>PGIM India Elss Tax Saver Fund</t>
  </si>
  <si>
    <t>Srinivas Rao Ravuri</t>
  </si>
  <si>
    <t>PGIM India Equity Savings Fund</t>
  </si>
  <si>
    <t>Anandha Padmanabhan Anjen</t>
  </si>
  <si>
    <t>PGIM India Flexi Cap Fund</t>
  </si>
  <si>
    <t>Aniruddha Naha</t>
  </si>
  <si>
    <t>PGIM India GEO Fund</t>
  </si>
  <si>
    <t>Rahul Jagwani</t>
  </si>
  <si>
    <t>PGIM India Gilt Fund</t>
  </si>
  <si>
    <t>Quant Absolute Fund</t>
  </si>
  <si>
    <t>Sanjeev Sharma</t>
  </si>
  <si>
    <t>Quant Mutual Fund</t>
  </si>
  <si>
    <t>Quant Active Fund</t>
  </si>
  <si>
    <t>Quant Flexi Cap Fund</t>
  </si>
  <si>
    <t>Vasav Sahgal</t>
  </si>
  <si>
    <t>Quant Focused Fund</t>
  </si>
  <si>
    <t>Quant Infrastructure Fund</t>
  </si>
  <si>
    <t>Quant Large and Mid Cap Fund</t>
  </si>
  <si>
    <t>Quant Liquid Plan â€“ Direct Growth</t>
  </si>
  <si>
    <t>Quant Mid Cap Fund</t>
  </si>
  <si>
    <t>Quant Multi Asset Fund</t>
  </si>
  <si>
    <t>Quant Small Cap Fund</t>
  </si>
  <si>
    <t>Quant Tax Plan- Direct Growth</t>
  </si>
  <si>
    <t>Quantum Dynamic Bond Fund</t>
  </si>
  <si>
    <t>Pankaj Pathak</t>
  </si>
  <si>
    <t>Quantum Mutual Fund</t>
  </si>
  <si>
    <t>Quantum Equity Fund</t>
  </si>
  <si>
    <t>Chirag Mehta</t>
  </si>
  <si>
    <t>Quantum Gold Savings Fund</t>
  </si>
  <si>
    <t>Quantum Liquid Fund</t>
  </si>
  <si>
    <t>Quantum Long Term Equity Value Fund</t>
  </si>
  <si>
    <t>George Thomas</t>
  </si>
  <si>
    <t>Quantum Multi Asset Fund</t>
  </si>
  <si>
    <t>Quantum Tax Saving Fund</t>
  </si>
  <si>
    <t>Christy Mathai</t>
  </si>
  <si>
    <t>SBI Arbitrage Opportunities Fund</t>
  </si>
  <si>
    <t>Neeraj Kumar</t>
  </si>
  <si>
    <t>SBI Mutual Fund</t>
  </si>
  <si>
    <t>SBI Banking &amp; Financial Services Fund</t>
  </si>
  <si>
    <t>Milind Agrawal</t>
  </si>
  <si>
    <t>SBI Banking and PSU Fund</t>
  </si>
  <si>
    <t>Rajeev Radhakrishnan</t>
  </si>
  <si>
    <t>SBI BlueChip Fund</t>
  </si>
  <si>
    <t>Sohini Andani</t>
  </si>
  <si>
    <t>SBI Conservative Hybrid Fund</t>
  </si>
  <si>
    <t>Saurabh Pant</t>
  </si>
  <si>
    <t>SBI Consumption Opportunities Fund</t>
  </si>
  <si>
    <t>SBI Contra Fund</t>
  </si>
  <si>
    <t>Dinesh Balachandran</t>
  </si>
  <si>
    <t>SBI Corporate Bond Fund</t>
  </si>
  <si>
    <t>SBI Credit Risk Fund</t>
  </si>
  <si>
    <t>Lokesh Mallya</t>
  </si>
  <si>
    <t>SBI Dynamic Bond Fund</t>
  </si>
  <si>
    <t>Dinesh Ahuja</t>
  </si>
  <si>
    <t>SBI Equity Hybrid Fund</t>
  </si>
  <si>
    <t>R Srinivasan</t>
  </si>
  <si>
    <t>SBI Equity Minimum Variance â€“ Direct Growth</t>
  </si>
  <si>
    <t>Raviprakash Sharma</t>
  </si>
  <si>
    <t>R Arun</t>
  </si>
  <si>
    <t>SBI Long Term Advantage Fund</t>
  </si>
  <si>
    <t>SBI Long Term Equity Fund</t>
  </si>
  <si>
    <t>SBI Magnum Childrenâ€™s Benefit Fund</t>
  </si>
  <si>
    <t>SBI Magnum Comma Fund</t>
  </si>
  <si>
    <t>Richard Dsouza</t>
  </si>
  <si>
    <t>SBI Magnum Equity ESG Fund</t>
  </si>
  <si>
    <t>Rohit Shimpi</t>
  </si>
  <si>
    <t>SBI Magnum Gilt Fund</t>
  </si>
  <si>
    <t>SBI Magnum Global Fund</t>
  </si>
  <si>
    <t>SBI Magnum Income Fund</t>
  </si>
  <si>
    <t>SBI Magnum Low Duration Fund</t>
  </si>
  <si>
    <t>SBI Magnum Medium Duration Fund</t>
  </si>
  <si>
    <t>SBI Magnum Midcap Fund</t>
  </si>
  <si>
    <t>SBI Magnum Ultra Short Duration Fund</t>
  </si>
  <si>
    <t>SBI Multi Asset Allocation Fund</t>
  </si>
  <si>
    <t>SBI Nifty Index Fund</t>
  </si>
  <si>
    <t>SBI Overnight Fund</t>
  </si>
  <si>
    <t>SBI PSU Fund</t>
  </si>
  <si>
    <t>SBI Savings Fund</t>
  </si>
  <si>
    <t>SBI Short Term Debt Fund</t>
  </si>
  <si>
    <t>SBI Small Cap Fund</t>
  </si>
  <si>
    <t>SBI Tax Advantage Fund</t>
  </si>
  <si>
    <t>SBI Technology Opportunities Fund</t>
  </si>
  <si>
    <t>Shriram Balanced Advantage Fund</t>
  </si>
  <si>
    <t>Deepak Ramaraju</t>
  </si>
  <si>
    <t>Shriram Mutual Fund</t>
  </si>
  <si>
    <t>Shriram Flexi Cap Fund</t>
  </si>
  <si>
    <t>Shriram Hybrid Equity Fund</t>
  </si>
  <si>
    <t>Shriram Long Term Equity Fund</t>
  </si>
  <si>
    <t>Sundaram Aggressive Hybrid Fund</t>
  </si>
  <si>
    <t>S Bharath</t>
  </si>
  <si>
    <t>Sundaram Mutual Fund</t>
  </si>
  <si>
    <t>Sundaram Arbitrage Fund</t>
  </si>
  <si>
    <t>Rohit Seksaria</t>
  </si>
  <si>
    <t>Sundaram Balanced Advantage Fund</t>
  </si>
  <si>
    <t>Sundaram Banking &amp; PSU Debt Fund</t>
  </si>
  <si>
    <t>Dwijendra Srivastava</t>
  </si>
  <si>
    <t>Sundaram Consumption Fund</t>
  </si>
  <si>
    <t>Ratish Varier</t>
  </si>
  <si>
    <t>Sundaram Corporate Bond Fund</t>
  </si>
  <si>
    <t>Sundaram Debt Oriented Hybrid Fund</t>
  </si>
  <si>
    <t>Sundaram Diversified Equity â€“ Direct Growth</t>
  </si>
  <si>
    <t>Sudhir Kedia</t>
  </si>
  <si>
    <t>Sundaram Dividend Yield Fund</t>
  </si>
  <si>
    <t>Sundaram Emerging Small Cap Series III â€“ Dir Growth</t>
  </si>
  <si>
    <t>Sundaram Emerging Small Cap Series IV â€“ Dir Growth</t>
  </si>
  <si>
    <t>Sundaram Emerging Small Cap Series V â€“ Dir Growth</t>
  </si>
  <si>
    <t>Sundaram Emerging Small Cap Series VI â€“ Dir Growth</t>
  </si>
  <si>
    <t>Sundaram Emerging Small Cap Series VII â€“ Dir Growth</t>
  </si>
  <si>
    <t>Sundaram Equity Savings Fund</t>
  </si>
  <si>
    <t>Sundaram Fin Serv Opportunities â€“ Direct Growth</t>
  </si>
  <si>
    <t>Sundaram Focused Fund</t>
  </si>
  <si>
    <t>Ravi Gopalakrishnan</t>
  </si>
  <si>
    <t>Sundaram Global Brand Fund</t>
  </si>
  <si>
    <t>Sundaram Infrastructure Advantage Fund</t>
  </si>
  <si>
    <t>Ashish Aggarwal</t>
  </si>
  <si>
    <t>Sundaram Large and Mid Cap Fund</t>
  </si>
  <si>
    <t>Sundaram Large Cap Fund</t>
  </si>
  <si>
    <t>Sundaram Liquid Fund</t>
  </si>
  <si>
    <t>Sundaram Low Duration Fund</t>
  </si>
  <si>
    <t>Sundaram LT MC Tax Advantage Fund</t>
  </si>
  <si>
    <t>Sundaram LT Tax Advantage Fund</t>
  </si>
  <si>
    <t>Sundaram Medium Term Bond Fund</t>
  </si>
  <si>
    <t>Sundaram Mid Cap Fund</t>
  </si>
  <si>
    <t>Sundaram Money Market Fund</t>
  </si>
  <si>
    <t>Sandeep Agarwal</t>
  </si>
  <si>
    <t>Sundaram Multi Cap Fund</t>
  </si>
  <si>
    <t>Sundaram Nifty 100 Equal Weight Fund</t>
  </si>
  <si>
    <t>Sundaram Overnight Fund</t>
  </si>
  <si>
    <t>Sundaram Services Fund</t>
  </si>
  <si>
    <t>Sundaram Short Duration Fund</t>
  </si>
  <si>
    <t>Sundaram Small Cap Fund</t>
  </si>
  <si>
    <t>Sundaram Tax Savings Fund</t>
  </si>
  <si>
    <t>Sundaram Ultra Short Duration Fund</t>
  </si>
  <si>
    <t>Tata Arbitrage Fund</t>
  </si>
  <si>
    <t>Sailesh Jain</t>
  </si>
  <si>
    <t>Tata Mutual Fund</t>
  </si>
  <si>
    <t>Tata Balanced Advantage Fund</t>
  </si>
  <si>
    <t>RahulSingh</t>
  </si>
  <si>
    <t>Tata Banking &amp; Financial Services Fund</t>
  </si>
  <si>
    <t>Sonam Udasi</t>
  </si>
  <si>
    <t>Tata Banking &amp; PSU Debt Fund</t>
  </si>
  <si>
    <t>Amit Somani</t>
  </si>
  <si>
    <t>Tata Digital India Fund</t>
  </si>
  <si>
    <t>Meeta Shetty</t>
  </si>
  <si>
    <t>Tata Equity P/E Fund</t>
  </si>
  <si>
    <t>Tata Equity Saving Fund</t>
  </si>
  <si>
    <t>Tata Ethical Fund</t>
  </si>
  <si>
    <t>Abhinav Sharma</t>
  </si>
  <si>
    <t>Tata Flexi Cap Fund</t>
  </si>
  <si>
    <t>Tata Floating Rate Fund</t>
  </si>
  <si>
    <t>Akhil Mittal</t>
  </si>
  <si>
    <t>Tata Focused Equity Fund</t>
  </si>
  <si>
    <t>Tata Gilt Securities Fund</t>
  </si>
  <si>
    <t>Tata Hybrid Equity Fund</t>
  </si>
  <si>
    <t>Chandraprakash Padiyar</t>
  </si>
  <si>
    <t>Tata India Consumer Fund</t>
  </si>
  <si>
    <t>Tata India Pharma &amp; Healthcare Fund</t>
  </si>
  <si>
    <t>Tata India Tax Savings Fund</t>
  </si>
  <si>
    <t>Tejas Gutka</t>
  </si>
  <si>
    <t>Tata Infrastructure Fund</t>
  </si>
  <si>
    <t>Tata Large &amp; Mid Cap Fund</t>
  </si>
  <si>
    <t>Tata Large Cap Fund</t>
  </si>
  <si>
    <t>Amey Sathe</t>
  </si>
  <si>
    <t>Tata Liquid Fund</t>
  </si>
  <si>
    <t>Tata Mid Cap Growth Fund</t>
  </si>
  <si>
    <t>Satish Chandra Mishra</t>
  </si>
  <si>
    <t>Tata Money Market Fund</t>
  </si>
  <si>
    <t>Tata Nifty 50 Index Fund</t>
  </si>
  <si>
    <t>Tata Overnight Fund</t>
  </si>
  <si>
    <t>Tata Resources &amp; Energy Fund</t>
  </si>
  <si>
    <t>Tata Retirement Savings Fund</t>
  </si>
  <si>
    <t>Murthy Nagarajan</t>
  </si>
  <si>
    <t>Taurus Banking &amp; Financial Services-Direct Growth</t>
  </si>
  <si>
    <t>Hardik Shah</t>
  </si>
  <si>
    <t>Taurus Mutual Fund</t>
  </si>
  <si>
    <t>Taurus Discovery (Midcap) Fund</t>
  </si>
  <si>
    <t>Taurus Ethical Fund</t>
  </si>
  <si>
    <t>Anuj Kapil</t>
  </si>
  <si>
    <t>Taurus Flexi Cap Fund</t>
  </si>
  <si>
    <t>Ankit Tikmany</t>
  </si>
  <si>
    <t>Taurus Infrastructure Fund</t>
  </si>
  <si>
    <t>Neha Raichura</t>
  </si>
  <si>
    <t>Taurus Largecap Equity Fund</t>
  </si>
  <si>
    <t>Taurus Nifty 50 Index Fund</t>
  </si>
  <si>
    <t>Ramneek Kundra</t>
  </si>
  <si>
    <t>Taurus Tax Shield â€“ Direct Growth</t>
  </si>
  <si>
    <t>Templeton India Equity Income Fund</t>
  </si>
  <si>
    <t>Templeton India Value Fund</t>
  </si>
  <si>
    <t>TRUSTMF Banking &amp; PSU Debt Fund</t>
  </si>
  <si>
    <t>Anand Nevatia</t>
  </si>
  <si>
    <t>Trust Mutual Fund</t>
  </si>
  <si>
    <t>TRUSTMF Liquid Fund</t>
  </si>
  <si>
    <t>TRUSTMF Short Term Fund</t>
  </si>
  <si>
    <t>Union Arbitrage Fund</t>
  </si>
  <si>
    <t>Vishal Thakker</t>
  </si>
  <si>
    <t>Union Mutual Fund</t>
  </si>
  <si>
    <t>Union Balanced Advantage Fund</t>
  </si>
  <si>
    <t>Parijat Agrawal</t>
  </si>
  <si>
    <t>Union Corporate Bond Fund</t>
  </si>
  <si>
    <t>Union Dynamic Bond Fund</t>
  </si>
  <si>
    <t>Union Equity Savings Fund</t>
  </si>
  <si>
    <t>Sanjay Bembalkar</t>
  </si>
  <si>
    <t>Union Flexi Cap Fund</t>
  </si>
  <si>
    <t>Union Focused Fund</t>
  </si>
  <si>
    <t>Hardick Bora</t>
  </si>
  <si>
    <t>Union Large &amp; Midcap Fund</t>
  </si>
  <si>
    <t>Union Largecap Fund</t>
  </si>
  <si>
    <t>Union Liquid Fund</t>
  </si>
  <si>
    <t>Devesh Thacker</t>
  </si>
  <si>
    <t>Union Long Term Equity Fund</t>
  </si>
  <si>
    <t>Union Medium Duration Fund</t>
  </si>
  <si>
    <t>Union Money Market Fund</t>
  </si>
  <si>
    <t>Union Overnight Fund</t>
  </si>
  <si>
    <t>Union Small Cap Fund</t>
  </si>
  <si>
    <t>Union Value Discovery Fund</t>
  </si>
  <si>
    <t>UTI-Arbitrage Fund</t>
  </si>
  <si>
    <t>Rajeev Gupta</t>
  </si>
  <si>
    <t>UTI Mutual Fund</t>
  </si>
  <si>
    <t>UTI-Banking &amp; PSU Debt Fund</t>
  </si>
  <si>
    <t>Anurag Mittal</t>
  </si>
  <si>
    <t>UTI-Banking and Financial Services Fund</t>
  </si>
  <si>
    <t>Amit Premchandani</t>
  </si>
  <si>
    <t>UTI-Bond Fund</t>
  </si>
  <si>
    <t>Amandeep Chopra</t>
  </si>
  <si>
    <t>UTI-CCF Investment Plan â€“ Direct Growth</t>
  </si>
  <si>
    <t>Vetri Subramaniam</t>
  </si>
  <si>
    <t>UTI-Core Equity Fund</t>
  </si>
  <si>
    <t>V Srivatsa</t>
  </si>
  <si>
    <t>UTI-Corporate Bond Fund</t>
  </si>
  <si>
    <t>UTI-Credit Risk Fund</t>
  </si>
  <si>
    <t>Ritesh Nambiar</t>
  </si>
  <si>
    <t>UTI-Dividend Yield Fund</t>
  </si>
  <si>
    <t>Swati Kulkarni</t>
  </si>
  <si>
    <t>UTI-Dynamic Bond Fund</t>
  </si>
  <si>
    <t>Sudhir Agrawal</t>
  </si>
  <si>
    <t>UTI-Equity Savings Fund</t>
  </si>
  <si>
    <t>Sachin Trivedi</t>
  </si>
  <si>
    <t>Sunil Patil</t>
  </si>
  <si>
    <t>Amit Sharma</t>
  </si>
  <si>
    <t>Sharwan Kumar Goyal</t>
  </si>
  <si>
    <t>UTI-Nifty Next 50 Index Fund</t>
  </si>
  <si>
    <t>UTI-Overnight Fund</t>
  </si>
  <si>
    <t>UTI-Regular Savings Fund</t>
  </si>
  <si>
    <t>UTI-Retirement Benefit Pension Plan â€“ Direct</t>
  </si>
  <si>
    <t>UTI-Short Term Income Fund</t>
  </si>
  <si>
    <t>UTI-Transportation &amp; Logistics Fund</t>
  </si>
  <si>
    <t>UTI-Treasury Advantage Fund</t>
  </si>
  <si>
    <t>UTI-Ultra Short Term Fund</t>
  </si>
  <si>
    <t>UTI-Unit Linked Insurance Plan â€“ Direct</t>
  </si>
  <si>
    <t>UTI-Value Opportunities Fund</t>
  </si>
  <si>
    <t>WhiteOak Capital Liquid Fund</t>
  </si>
  <si>
    <t>Piyush Baranwal</t>
  </si>
  <si>
    <t>WhiteOak Capital Mutual Fund</t>
  </si>
  <si>
    <t>WhiteOak Capital Overnight Fund</t>
  </si>
  <si>
    <t>WhiteOak Capital Ultra Short Term Fund</t>
  </si>
  <si>
    <t>Count of scheme_name</t>
  </si>
  <si>
    <t>Count of fund_manager</t>
  </si>
  <si>
    <t>Sum of risk_level</t>
  </si>
  <si>
    <t>Average of risk_level</t>
  </si>
  <si>
    <t>Average of expense_ratio</t>
  </si>
  <si>
    <t>Sum of min_lumpsum</t>
  </si>
  <si>
    <t>Average of min_lumpsum</t>
  </si>
  <si>
    <t>Row Labels</t>
  </si>
  <si>
    <t>Grand Total</t>
  </si>
  <si>
    <t>Sum of fund_age_yr</t>
  </si>
  <si>
    <t>Sum of returns_1yr</t>
  </si>
  <si>
    <t>Sum of returns_3yr</t>
  </si>
  <si>
    <t>Sum of returns_5yr</t>
  </si>
  <si>
    <t xml:space="preserve">main </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</si>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</sst>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applyAlignment="1">
      <alignment horizontal="left"/>
    </xf>
    <xf numFmtId="0" fontId="16" fillId="33" borderId="10" xfId="0" applyNumberFormat="1" applyFont="1" applyFill="1" applyBorder="1"/>
    <xf numFmtId="0" fontId="0" fillId="34" borderId="0" xfId="0" applyFill="1"/>
    <xf numFmtId="164"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64" formatCode="0.0"/>
    </dxf>
    <dxf>
      <numFmt numFmtId="1" formatCode="0"/>
    </dxf>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1" formatCode="0"/>
    </dxf>
    <dxf>
      <numFmt numFmtId="164" formatCode="0.0"/>
    </dxf>
    <dxf>
      <numFmt numFmtId="2" formatCode="0.00"/>
    </dxf>
    <dxf>
      <numFmt numFmtId="1" formatCode="0"/>
    </dxf>
    <dxf>
      <numFmt numFmtId="164" formatCode="0.0"/>
    </dxf>
    <dxf>
      <numFmt numFmtId="2" formatCode="0.00"/>
    </dxf>
    <dxf>
      <numFmt numFmtId="165" formatCode="0.000"/>
    </dxf>
    <dxf>
      <numFmt numFmtId="166" formatCode="0.0000"/>
    </dxf>
    <dxf>
      <numFmt numFmtId="165" formatCode="0.000"/>
    </dxf>
    <dxf>
      <numFmt numFmtId="166" formatCode="0.0000"/>
    </dxf>
    <dxf>
      <numFmt numFmtId="167" formatCode="0.00000"/>
    </dxf>
    <dxf>
      <numFmt numFmtId="168" formatCode="0.000000"/>
    </dxf>
    <dxf>
      <numFmt numFmtId="169" formatCode="0.0000000"/>
    </dxf>
    <dxf>
      <numFmt numFmtId="170" formatCode="0.0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[comprehensive_mutual_funds_data project.xlsx]column 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latin typeface="Times New Roman" panose="02020603050405020304" pitchFamily="18" charset="0"/>
                <a:cs typeface="Times New Roman" panose="02020603050405020304" pitchFamily="18" charset="0"/>
              </a:rPr>
              <a:t>Top</a:t>
            </a:r>
            <a:r>
              <a:rPr lang="en-US" sz="1800" b="1" u="sng" baseline="0">
                <a:latin typeface="Times New Roman" panose="02020603050405020304" pitchFamily="18" charset="0"/>
                <a:cs typeface="Times New Roman" panose="02020603050405020304" pitchFamily="18" charset="0"/>
              </a:rPr>
              <a:t> 10 Schema </a:t>
            </a:r>
            <a:endParaRPr lang="en-US" sz="1800" b="1" u="sng">
              <a:latin typeface="Times New Roman" panose="02020603050405020304" pitchFamily="18" charset="0"/>
              <a:cs typeface="Times New Roman" panose="02020603050405020304" pitchFamily="18" charset="0"/>
            </a:endParaRPr>
          </a:p>
        </c:rich>
      </c:tx>
      <c:layout>
        <c:manualLayout>
          <c:xMode val="edge"/>
          <c:yMode val="edge"/>
          <c:x val="0.37305555555555558"/>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'column chart'!$B$1</c:f>
              <c:strCache>
                <c:ptCount val="1"/>
                <c:pt idx="0">
                  <c:v>Total</c:v>
                </c:pt>
              </c:strCache>
            </c:strRef>
          </c:tx>
          <c:spPr>
            <a:solidFill>
              <a:schemeClr val="accent1"/>
            </a:solidFill>
            <a:ln>
              <a:noFill/>
            </a:ln>
            <a:effectLst/>
          </c:spPr>
          <c:invertIfNegative val="0"/>
          <c:dLbls>
            <c:delete val="1"/>
          </c:dLbls>
          <c:cat>
            <c:strRef>
              <c:f>'column chart'!$A$2:$A$12</c:f>
              <c:strCache>
                <c:ptCount val="10"/>
                <c:pt idx="0">
                  <c:v>AXIS All Seasons Debt Fund</c:v>
                </c:pt>
                <c:pt idx="1">
                  <c:v>Franklin India Corporate Debt Fund</c:v>
                </c:pt>
                <c:pt idx="2">
                  <c:v>Franklin India Debt Hybrid Fund</c:v>
                </c:pt>
                <c:pt idx="3">
                  <c:v>Franklin India G-Sec Fund</c:v>
                </c:pt>
                <c:pt idx="4">
                  <c:v>HSBC Corporate Bond Fund</c:v>
                </c:pt>
                <c:pt idx="5">
                  <c:v>IIFL Dynamic Bond Fund</c:v>
                </c:pt>
                <c:pt idx="6">
                  <c:v>LIC MF G-Sec Fund</c:v>
                </c:pt>
                <c:pt idx="7">
                  <c:v>SBI Credit Risk Fund</c:v>
                </c:pt>
                <c:pt idx="8">
                  <c:v>Sundaram Multi Cap Fund</c:v>
                </c:pt>
                <c:pt idx="9">
                  <c:v>UTI-Unit Linked Insurance Plan â€“ Direct</c:v>
                </c:pt>
              </c:strCache>
            </c:strRef>
          </c:cat>
          <c:val>
            <c:numRef>
              <c:f>'column chart'!$B$2:$B$12</c:f>
              <c:numCache>
                <c:formatCode>General</c:formatCode>
                <c:ptCount val="10"/>
                <c:pt idx="0">
                  <c:v>5000</c:v>
                </c:pt>
                <c:pt idx="1">
                  <c:v>10000</c:v>
                </c:pt>
                <c:pt idx="2">
                  <c:v>10000</c:v>
                </c:pt>
                <c:pt idx="3">
                  <c:v>10000</c:v>
                </c:pt>
                <c:pt idx="4">
                  <c:v>10000</c:v>
                </c:pt>
                <c:pt idx="5">
                  <c:v>10000</c:v>
                </c:pt>
                <c:pt idx="6">
                  <c:v>10000</c:v>
                </c:pt>
                <c:pt idx="7">
                  <c:v>10000</c:v>
                </c:pt>
                <c:pt idx="8">
                  <c:v>10100</c:v>
                </c:pt>
                <c:pt idx="9">
                  <c:v>15000</c:v>
                </c:pt>
              </c:numCache>
            </c:numRef>
          </c:val>
          <c:extLst>
            <c:ext xmlns:c16="http://schemas.microsoft.com/office/drawing/2014/chart" uri="{C3380CC4-5D6E-409C-BE32-E72D297353CC}">
              <c16:uniqueId val="{00000000-362D-4C84-8C9B-54E8CBEC8FDF}"/>
            </c:ext>
          </c:extLst>
        </c:ser>
        <c:dLbls>
          <c:dLblPos val="outEnd"/>
          <c:showLegendKey val="0"/>
          <c:showVal val="1"/>
          <c:showCatName val="0"/>
          <c:showSerName val="0"/>
          <c:showPercent val="0"/>
          <c:showBubbleSize val="0"/>
        </c:dLbls>
        <c:gapWidth val="219"/>
        <c:overlap val="-27"/>
        <c:axId val="1742340656"/>
        <c:axId val="1742329840"/>
      </c:barChart>
      <c:catAx>
        <c:axId val="1742340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42329840"/>
        <c:crosses val="autoZero"/>
        <c:auto val="1"/>
        <c:lblAlgn val="ctr"/>
        <c:lblOffset val="100"/>
        <c:noMultiLvlLbl val="0"/>
      </c:catAx>
      <c:valAx>
        <c:axId val="17423298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4234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title pos="t" align="ctr" overlay="0">
      <cx:tx>
        <cx:rich>
          <a:bodyPr spcFirstLastPara="1" vertOverflow="ellipsis" wrap="square" lIns="0" tIns="0" rIns="0" bIns="0" anchor="ctr" anchorCtr="1"/>
          <a:lstStyle/>
          <a:p>
            <a:pPr algn="ctr">
              <a:defRPr lang="en-US" sz="1400" b="1" i="0" u="sng" strike="noStrike" kern="1200" spc="0" baseline="0">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r>
              <a:rPr lang="en-US" b="1" u="sng">
                <a:solidFill>
                  <a:schemeClr val="tx1"/>
                </a:solidFill>
                <a:latin typeface="Times New Roman" panose="02020603050405020304" pitchFamily="18" charset="0"/>
                <a:cs typeface="Times New Roman" panose="02020603050405020304" pitchFamily="18" charset="0"/>
              </a:rPr>
              <a:t>Fund Manager</a:t>
            </a:r>
          </a:p>
        </cx:rich>
      </cx:tx>
    </cx:title>
    <cx:plotArea>
      <cx:plotAreaRegion>
        <cx:series layoutId="treemap" uniqueId="{CD19EFEF-7116-41A3-BE00-50B1E60BEEBC}">
          <cx:dataLabels pos="inEnd">
            <cx:visibility seriesName="0" categoryName="1" value="0"/>
          </cx:dataLabels>
          <cx:dataId val="0"/>
          <cx:layoutPr>
            <cx:parentLabelLayout val="overlapping"/>
          </cx:layoutPr>
        </cx:series>
      </cx:plotAreaRegion>
    </cx:plotArea>
  </cx:chart>
  <cx:spPr>
    <a:noFill/>
  </cx:spPr>
  <cx:clrMapOvr bg1="lt1" tx1="dk1" bg2="lt2" tx2="dk2" accent1="accent1" accent2="accent2" accent3="accent3" accent4="accent4" accent5="accent5" accent6="accent6" hlink="hlink" folHlink="folHlink"/>
</cx: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[comprehensive_mutual_funds_data project.xlsx]line chart!PivotTable4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latin typeface="Times New Roman" panose="02020603050405020304" pitchFamily="18" charset="0"/>
                <a:cs typeface="Times New Roman" panose="02020603050405020304" pitchFamily="18" charset="0"/>
              </a:rPr>
              <a:t>Return</a:t>
            </a:r>
            <a:r>
              <a:rPr lang="en-US" sz="1800" b="1" u="sng" baseline="0">
                <a:latin typeface="Times New Roman" panose="02020603050405020304" pitchFamily="18" charset="0"/>
                <a:cs typeface="Times New Roman" panose="02020603050405020304" pitchFamily="18" charset="0"/>
              </a:rPr>
              <a:t> Year Ratio</a:t>
            </a:r>
            <a:endParaRPr lang="en-US" sz="1800" b="1" u="sng">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cked"/>
        <c:varyColors val="0"/>
        <c:ser>
          <c:idx val="0"/>
          <c:order val="0"/>
          <c:tx>
            <c:strRef>
              <c:f>'line chart'!$D$6</c:f>
              <c:strCache>
                <c:ptCount val="1"/>
                <c:pt idx="0">
                  <c:v>Sum of returns_3yr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'line chart'!$C$7:$C$17</c:f>
              <c:strCache>
                <c:ptCount val="10"/>
                <c:pt idx="0">
                  <c:v>Franklin Templeton Mutual Fund</c:v>
                </c:pt>
                <c:pt idx="1">
                  <c:v>HDFC Mutual Fund</c:v>
                </c:pt>
                <c:pt idx="2">
                  <c:v>HSBC Mutual Fund</c:v>
                </c:pt>
                <c:pt idx="3">
                  <c:v>IDBI Mutual Fund</c:v>
                </c:pt>
                <c:pt idx="4">
                  <c:v>Kotak Mahindra Mutual Fund</c:v>
                </c:pt>
                <c:pt idx="5">
                  <c:v>Quant Mutual Fund</c:v>
                </c:pt>
                <c:pt idx="6">
                  <c:v>SBI Mutual Fund</c:v>
                </c:pt>
                <c:pt idx="7">
                  <c:v>Sundaram Mutual Fund</c:v>
                </c:pt>
                <c:pt idx="8">
                  <c:v>Tata Mutual Fund</c:v>
                </c:pt>
                <c:pt idx="9">
                  <c:v>UTI Mutual Fund</c:v>
                </c:pt>
              </c:strCache>
            </c:strRef>
          </c:cat>
          <c:val>
            <c:numRef>
              <c:f>'line chart'!$D$7:$D$17</c:f>
              <c:numCache>
                <c:formatCode>General</c:formatCode>
                <c:ptCount val="10"/>
                <c:pt idx="0">
                  <c:v>332</c:v>
                </c:pt>
                <c:pt idx="1">
                  <c:v>307.3</c:v>
                </c:pt>
                <c:pt idx="2">
                  <c:v>354.7000000000001</c:v>
                </c:pt>
                <c:pt idx="3">
                  <c:v>335.40000000000003</c:v>
                </c:pt>
                <c:pt idx="4">
                  <c:v>523.70000000000005</c:v>
                </c:pt>
                <c:pt idx="5">
                  <c:v>478.5</c:v>
                </c:pt>
                <c:pt idx="6">
                  <c:v>731.3</c:v>
                </c:pt>
                <c:pt idx="7">
                  <c:v>992.09999999999991</c:v>
                </c:pt>
                <c:pt idx="8">
                  <c:v>525.9</c:v>
                </c:pt>
                <c:pt idx="9">
                  <c:v>321.40000000000003</c:v>
                </c:pt>
              </c:numCache>
            </c:numRef>
          </c:val>
          <c:smooth val="0"/>
          <c:extLst>
            <c:ext xmlns:c16="http://schemas.microsoft.com/office/drawing/2014/chart" uri="{C3380CC4-5D6E-409C-BE32-E72D297353CC}">
              <c16:uniqueId val="{00000000-6396-4314-BC23-86FE499304FA}"/>
            </c:ext>
          </c:extLst>
        </c:ser>
        <c:ser>
          <c:idx val="1"/>
          <c:order val="1"/>
          <c:tx>
            <c:strRef>
              <c:f>'line chart'!$E$6</c:f>
              <c:strCache>
                <c:ptCount val="1"/>
                <c:pt idx="0">
                  <c:v>Sum of returns_5yr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'line chart'!$C$7:$C$17</c:f>
              <c:strCache>
                <c:ptCount val="10"/>
                <c:pt idx="0">
                  <c:v>Franklin Templeton Mutual Fund</c:v>
                </c:pt>
                <c:pt idx="1">
                  <c:v>HDFC Mutual Fund</c:v>
                </c:pt>
                <c:pt idx="2">
                  <c:v>HSBC Mutual Fund</c:v>
                </c:pt>
                <c:pt idx="3">
                  <c:v>IDBI Mutual Fund</c:v>
                </c:pt>
                <c:pt idx="4">
                  <c:v>Kotak Mahindra Mutual Fund</c:v>
                </c:pt>
                <c:pt idx="5">
                  <c:v>Quant Mutual Fund</c:v>
                </c:pt>
                <c:pt idx="6">
                  <c:v>SBI Mutual Fund</c:v>
                </c:pt>
                <c:pt idx="7">
                  <c:v>Sundaram Mutual Fund</c:v>
                </c:pt>
                <c:pt idx="8">
                  <c:v>Tata Mutual Fund</c:v>
                </c:pt>
                <c:pt idx="9">
                  <c:v>UTI Mutual Fund</c:v>
                </c:pt>
              </c:strCache>
            </c:strRef>
          </c:cat>
          <c:val>
            <c:numRef>
              <c:f>'line chart'!$E$7:$E$17</c:f>
              <c:numCache>
                <c:formatCode>General</c:formatCode>
                <c:ptCount val="10"/>
                <c:pt idx="0">
                  <c:v>149.40000000000003</c:v>
                </c:pt>
                <c:pt idx="1">
                  <c:v>154</c:v>
                </c:pt>
                <c:pt idx="2">
                  <c:v>164.10000000000002</c:v>
                </c:pt>
                <c:pt idx="3">
                  <c:v>121.20000000000002</c:v>
                </c:pt>
                <c:pt idx="4">
                  <c:v>286.69999999999993</c:v>
                </c:pt>
                <c:pt idx="5">
                  <c:v>197.2</c:v>
                </c:pt>
                <c:pt idx="6">
                  <c:v>337.00000000000006</c:v>
                </c:pt>
                <c:pt idx="7">
                  <c:v>251.00000000000003</c:v>
                </c:pt>
                <c:pt idx="8">
                  <c:v>219.00000000000003</c:v>
                </c:pt>
                <c:pt idx="9">
                  <c:v>117.9</c:v>
                </c:pt>
              </c:numCache>
            </c:numRef>
          </c:val>
          <c:smooth val="0"/>
          <c:extLst>
            <c:ext xmlns:c16="http://schemas.microsoft.com/office/drawing/2014/chart" uri="{C3380CC4-5D6E-409C-BE32-E72D297353CC}">
              <c16:uniqueId val="{00000001-6396-4314-BC23-86FE499304FA}"/>
            </c:ext>
          </c:extLst>
        </c:ser>
        <c:ser>
          <c:idx val="2"/>
          <c:order val="2"/>
          <c:tx>
            <c:strRef>
              <c:f>'line chart'!$F$6</c:f>
              <c:strCache>
                <c:ptCount val="1"/>
                <c:pt idx="0">
                  <c:v>Sum of returns_1yr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'line chart'!$C$7:$C$17</c:f>
              <c:strCache>
                <c:ptCount val="10"/>
                <c:pt idx="0">
                  <c:v>Franklin Templeton Mutual Fund</c:v>
                </c:pt>
                <c:pt idx="1">
                  <c:v>HDFC Mutual Fund</c:v>
                </c:pt>
                <c:pt idx="2">
                  <c:v>HSBC Mutual Fund</c:v>
                </c:pt>
                <c:pt idx="3">
                  <c:v>IDBI Mutual Fund</c:v>
                </c:pt>
                <c:pt idx="4">
                  <c:v>Kotak Mahindra Mutual Fund</c:v>
                </c:pt>
                <c:pt idx="5">
                  <c:v>Quant Mutual Fund</c:v>
                </c:pt>
                <c:pt idx="6">
                  <c:v>SBI Mutual Fund</c:v>
                </c:pt>
                <c:pt idx="7">
                  <c:v>Sundaram Mutual Fund</c:v>
                </c:pt>
                <c:pt idx="8">
                  <c:v>Tata Mutual Fund</c:v>
                </c:pt>
                <c:pt idx="9">
                  <c:v>UTI Mutual Fund</c:v>
                </c:pt>
              </c:strCache>
            </c:strRef>
          </c:cat>
          <c:val>
            <c:numRef>
              <c:f>'line chart'!$F$7:$F$17</c:f>
              <c:numCache>
                <c:formatCode>General</c:formatCode>
                <c:ptCount val="10"/>
                <c:pt idx="0">
                  <c:v>71.3</c:v>
                </c:pt>
                <c:pt idx="1">
                  <c:v>125.4</c:v>
                </c:pt>
                <c:pt idx="2">
                  <c:v>61.2</c:v>
                </c:pt>
                <c:pt idx="3">
                  <c:v>15.9</c:v>
                </c:pt>
                <c:pt idx="4">
                  <c:v>184.1</c:v>
                </c:pt>
                <c:pt idx="5">
                  <c:v>64.099999999999994</c:v>
                </c:pt>
                <c:pt idx="6">
                  <c:v>143.19999999999999</c:v>
                </c:pt>
                <c:pt idx="7">
                  <c:v>163.19999999999999</c:v>
                </c:pt>
                <c:pt idx="8">
                  <c:v>72.3</c:v>
                </c:pt>
                <c:pt idx="9">
                  <c:v>102.3</c:v>
                </c:pt>
              </c:numCache>
            </c:numRef>
          </c:val>
          <c:smooth val="0"/>
          <c:extLst>
            <c:ext xmlns:c16="http://schemas.microsoft.com/office/drawing/2014/chart" uri="{C3380CC4-5D6E-409C-BE32-E72D297353CC}">
              <c16:uniqueId val="{00000002-6396-4314-BC23-86FE499304FA}"/>
            </c:ext>
          </c:extLst>
        </c:ser>
        <c:dLbls>
          <c:showLegendKey val="0"/>
          <c:showVal val="0"/>
          <c:showCatName val="0"/>
          <c:showSerName val="0"/>
          <c:showPercent val="0"/>
          <c:showBubbleSize val="0"/>
        </c:dLbls>
        <c:marker val="1"/>
        <c:smooth val="0"/>
        <c:axId val="1916604896"/>
        <c:axId val="1916605312"/>
      </c:lineChart>
      <c:catAx>
        <c:axId val="191660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16605312"/>
        <c:crosses val="autoZero"/>
        <c:auto val="1"/>
        <c:lblAlgn val="ctr"/>
        <c:lblOffset val="100"/>
        <c:noMultiLvlLbl val="0"/>
      </c:catAx>
      <c:valAx>
        <c:axId val="1916605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16604896"/>
        <c:crosses val="autoZero"/>
        <c:crossBetween val="between"/>
      </c:valAx>
      <c:spPr>
        <a:noFill/>
        <a:ln>
          <a:noFill/>
        </a:ln>
        <a:effectLst/>
      </c:spPr>
    </c:plotArea>
    <c:legend>
      <c:legendPos val="r"/>
      <c:layout>
        <c:manualLayout>
          <c:xMode val="edge"/>
          <c:yMode val="edge"/>
          <c:x val="0.81770756780402465"/>
          <c:y val="0.14670056867891512"/>
          <c:w val="0.16562576552930883"/>
          <c:h val="0.641784047827354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[comprehensive_mutual_funds_data project.xlsx]Pie chart!PivotTable6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latin typeface="Times New Roman" panose="02020603050405020304" pitchFamily="18" charset="0"/>
                <a:cs typeface="Times New Roman" panose="02020603050405020304" pitchFamily="18" charset="0"/>
              </a:rPr>
              <a:t>Fund</a:t>
            </a:r>
            <a:r>
              <a:rPr lang="en-US" sz="1600" b="1" u="sng" baseline="0">
                <a:latin typeface="Times New Roman" panose="02020603050405020304" pitchFamily="18" charset="0"/>
                <a:cs typeface="Times New Roman" panose="02020603050405020304" pitchFamily="18" charset="0"/>
              </a:rPr>
              <a:t> Category</a:t>
            </a:r>
            <a:endParaRPr lang="en-US" sz="1600" b="1" u="sng">
              <a:latin typeface="Times New Roman" panose="02020603050405020304" pitchFamily="18" charset="0"/>
              <a:cs typeface="Times New Roman" panose="02020603050405020304" pitchFamily="18" charset="0"/>
            </a:endParaRPr>
          </a:p>
        </c:rich>
      </c:tx>
      <c:layout>
        <c:manualLayout>
          <c:xMode val="edge"/>
          <c:yMode val="edge"/>
          <c:x val="2.5833333333333337E-2"/>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chart'!$D$8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63-464F-9FB9-98FE7DEEB29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063-464F-9FB9-98FE7DEEB29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063-464F-9FB9-98FE7DEEB29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063-464F-9FB9-98FE7DEEB29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063-464F-9FB9-98FE7DEEB29D}"/>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chart'!$C$9:$C$14</c:f>
              <c:strCache>
                <c:ptCount val="5"/>
                <c:pt idx="0">
                  <c:v>Debt</c:v>
                </c:pt>
                <c:pt idx="1">
                  <c:v>Equity</c:v>
                </c:pt>
                <c:pt idx="2">
                  <c:v>Hybrid</c:v>
                </c:pt>
                <c:pt idx="3">
                  <c:v>Other</c:v>
                </c:pt>
                <c:pt idx="4">
                  <c:v>Solution Oriented</c:v>
                </c:pt>
              </c:strCache>
            </c:strRef>
          </c:cat>
          <c:val>
            <c:numRef>
              <c:f>'Pie chart'!$D$9:$D$14</c:f>
              <c:numCache>
                <c:formatCode>General</c:formatCode>
                <c:ptCount val="5"/>
                <c:pt idx="0">
                  <c:v>163</c:v>
                </c:pt>
                <c:pt idx="1">
                  <c:v>194</c:v>
                </c:pt>
                <c:pt idx="2">
                  <c:v>86</c:v>
                </c:pt>
                <c:pt idx="3">
                  <c:v>38</c:v>
                </c:pt>
                <c:pt idx="4">
                  <c:v>7</c:v>
                </c:pt>
              </c:numCache>
            </c:numRef>
          </c:val>
          <c:extLst>
            <c:ext xmlns:c16="http://schemas.microsoft.com/office/drawing/2014/chart" uri="{C3380CC4-5D6E-409C-BE32-E72D297353CC}">
              <c16:uniqueId val="{00000000-0804-4F0F-9FB3-7ED7BB984E91}"/>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[comprehensive_mutual_funds_data project.xlsx]Doughnut chart!PivotTable7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u="sng">
                <a:latin typeface="Times New Roman" panose="02020603050405020304" pitchFamily="18" charset="0"/>
                <a:cs typeface="Times New Roman" panose="02020603050405020304" pitchFamily="18" charset="0"/>
              </a:rPr>
              <a:t>Risk</a:t>
            </a:r>
            <a:r>
              <a:rPr lang="en-US" sz="1400" b="1" u="sng" baseline="0">
                <a:latin typeface="Times New Roman" panose="02020603050405020304" pitchFamily="18" charset="0"/>
                <a:cs typeface="Times New Roman" panose="02020603050405020304" pitchFamily="18" charset="0"/>
              </a:rPr>
              <a:t> in Category</a:t>
            </a:r>
            <a:endParaRPr lang="en-US" sz="1400" b="1" u="sng">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'Doughnut chart'!$D$8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21-4274-92E6-7E1E1B6D65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21-4274-92E6-7E1E1B6D65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21-4274-92E6-7E1E1B6D65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21-4274-92E6-7E1E1B6D65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21-4274-92E6-7E1E1B6D65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chart'!$C$9:$C$14</c:f>
              <c:strCache>
                <c:ptCount val="5"/>
                <c:pt idx="0">
                  <c:v>Debt</c:v>
                </c:pt>
                <c:pt idx="1">
                  <c:v>Equity</c:v>
                </c:pt>
                <c:pt idx="2">
                  <c:v>Hybrid</c:v>
                </c:pt>
                <c:pt idx="3">
                  <c:v>Other</c:v>
                </c:pt>
                <c:pt idx="4">
                  <c:v>Solution Oriented</c:v>
                </c:pt>
              </c:strCache>
            </c:strRef>
          </c:cat>
          <c:val>
            <c:numRef>
              <c:f>'Doughnut chart'!$D$9:$D$14</c:f>
              <c:numCache>
                <c:formatCode>General</c:formatCode>
                <c:ptCount val="5"/>
                <c:pt idx="0">
                  <c:v>404</c:v>
                </c:pt>
                <c:pt idx="1">
                  <c:v>1148</c:v>
                </c:pt>
                <c:pt idx="2">
                  <c:v>343</c:v>
                </c:pt>
                <c:pt idx="3">
                  <c:v>204</c:v>
                </c:pt>
                <c:pt idx="4">
                  <c:v>39</c:v>
                </c:pt>
              </c:numCache>
            </c:numRef>
          </c:val>
          <c:extLst>
            <c:ext xmlns:c16="http://schemas.microsoft.com/office/drawing/2014/chart" uri="{C3380CC4-5D6E-409C-BE32-E72D297353CC}">
              <c16:uniqueId val="{00000000-2D1D-4CDA-8A84-30D1A8BE8DF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[comprehensive_mutual_funds_data project.xlsx]Doughnut chart!PivotTable7</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Risk in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15:layout/>
            </c:ext>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doughnutChart>
        <c:varyColors val="1"/>
        <c:ser>
          <c:idx val="0"/>
          <c:order val="0"/>
          <c:tx>
            <c:strRef>
              <c:f>'Doughnut chart'!$D$8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4B-41CA-BA69-3450868B0D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4B-41CA-BA69-3450868B0D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4B-41CA-BA69-3450868B0D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4B-41CA-BA69-3450868B0D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4B-41CA-BA69-3450868B0D22}"/>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1"/>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'Doughnut chart'!$C$9:$C$14</c:f>
              <c:strCache>
                <c:ptCount val="5"/>
                <c:pt idx="0">
                  <c:v>Debt</c:v>
                </c:pt>
                <c:pt idx="1">
                  <c:v>Equity</c:v>
                </c:pt>
                <c:pt idx="2">
                  <c:v>Hybrid</c:v>
                </c:pt>
                <c:pt idx="3">
                  <c:v>Other</c:v>
                </c:pt>
                <c:pt idx="4">
                  <c:v>Solution Oriented</c:v>
                </c:pt>
              </c:strCache>
            </c:strRef>
          </c:cat>
          <c:val>
            <c:numRef>
              <c:f>'Doughnut chart'!$D$9:$D$14</c:f>
              <c:numCache>
                <c:formatCode>General</c:formatCode>
                <c:ptCount val="5"/>
                <c:pt idx="0">
                  <c:v>404</c:v>
                </c:pt>
                <c:pt idx="1">
                  <c:v>1148</c:v>
                </c:pt>
                <c:pt idx="2">
                  <c:v>343</c:v>
                </c:pt>
                <c:pt idx="3">
                  <c:v>204</c:v>
                </c:pt>
                <c:pt idx="4">
                  <c:v>39</c:v>
                </c:pt>
              </c:numCache>
            </c:numRef>
          </c:val>
          <c:extLst>
            <c:ext xmlns:c16="http://schemas.microsoft.com/office/drawing/2014/chart" uri="{C3380CC4-5D6E-409C-BE32-E72D297353CC}">
              <c16:uniqueId val="{0000000A-EA4B-41CA-BA69-3450868B0D2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[comprehensive_mutual_funds_data project.xlsx]Pie chart!PivotTable6</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Fund Category</a:t>
            </a:r>
          </a:p>
        </c:rich>
      </c:tx>
      <c:layout>
        <c:manualLayout>
          <c:xMode val="edge"/>
          <c:yMode val="edge"/>
          <c:x val="2.5833333333333337E-2"/>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chart'!$D$8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CCC-4515-870A-B15D528DBF3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CCC-4515-870A-B15D528DBF3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CCC-4515-870A-B15D528DBF3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CCC-4515-870A-B15D528DBF3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CCC-4515-870A-B15D528DBF3A}"/>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'Pie chart'!$C$9:$C$14</c:f>
              <c:strCache>
                <c:ptCount val="5"/>
                <c:pt idx="0">
                  <c:v>Debt</c:v>
                </c:pt>
                <c:pt idx="1">
                  <c:v>Equity</c:v>
                </c:pt>
                <c:pt idx="2">
                  <c:v>Hybrid</c:v>
                </c:pt>
                <c:pt idx="3">
                  <c:v>Other</c:v>
                </c:pt>
                <c:pt idx="4">
                  <c:v>Solution Oriented</c:v>
                </c:pt>
              </c:strCache>
            </c:strRef>
          </c:cat>
          <c:val>
            <c:numRef>
              <c:f>'Pie chart'!$D$9:$D$14</c:f>
              <c:numCache>
                <c:formatCode>General</c:formatCode>
                <c:ptCount val="5"/>
                <c:pt idx="0">
                  <c:v>163</c:v>
                </c:pt>
                <c:pt idx="1">
                  <c:v>194</c:v>
                </c:pt>
                <c:pt idx="2">
                  <c:v>86</c:v>
                </c:pt>
                <c:pt idx="3">
                  <c:v>38</c:v>
                </c:pt>
                <c:pt idx="4">
                  <c:v>7</c:v>
                </c:pt>
              </c:numCache>
            </c:numRef>
          </c:val>
          <c:extLst>
            <c:ext xmlns:c16="http://schemas.microsoft.com/office/drawing/2014/chart" uri="{C3380CC4-5D6E-409C-BE32-E72D297353CC}">
              <c16:uniqueId val="{0000000A-ECCC-4515-870A-B15D528DBF3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[comprehensive_mutual_funds_data project.xlsx]line chart!PivotTable4</c:name>
    <c:fmtId val="2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Return Year Ratio</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cked"/>
        <c:varyColors val="0"/>
        <c:ser>
          <c:idx val="0"/>
          <c:order val="0"/>
          <c:tx>
            <c:strRef>
              <c:f>'line chart'!$D$6</c:f>
              <c:strCache>
                <c:ptCount val="1"/>
                <c:pt idx="0">
                  <c:v>Sum of returns_3yr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'line chart'!$C$7:$C$17</c:f>
              <c:strCache>
                <c:ptCount val="10"/>
                <c:pt idx="0">
                  <c:v>Franklin Templeton Mutual Fund</c:v>
                </c:pt>
                <c:pt idx="1">
                  <c:v>HDFC Mutual Fund</c:v>
                </c:pt>
                <c:pt idx="2">
                  <c:v>HSBC Mutual Fund</c:v>
                </c:pt>
                <c:pt idx="3">
                  <c:v>IDBI Mutual Fund</c:v>
                </c:pt>
                <c:pt idx="4">
                  <c:v>Kotak Mahindra Mutual Fund</c:v>
                </c:pt>
                <c:pt idx="5">
                  <c:v>Quant Mutual Fund</c:v>
                </c:pt>
                <c:pt idx="6">
                  <c:v>SBI Mutual Fund</c:v>
                </c:pt>
                <c:pt idx="7">
                  <c:v>Sundaram Mutual Fund</c:v>
                </c:pt>
                <c:pt idx="8">
                  <c:v>Tata Mutual Fund</c:v>
                </c:pt>
                <c:pt idx="9">
                  <c:v>UTI Mutual Fund</c:v>
                </c:pt>
              </c:strCache>
            </c:strRef>
          </c:cat>
          <c:val>
            <c:numRef>
              <c:f>'line chart'!$D$7:$D$17</c:f>
              <c:numCache>
                <c:formatCode>General</c:formatCode>
                <c:ptCount val="10"/>
                <c:pt idx="0">
                  <c:v>332</c:v>
                </c:pt>
                <c:pt idx="1">
                  <c:v>307.3</c:v>
                </c:pt>
                <c:pt idx="2">
                  <c:v>354.7000000000001</c:v>
                </c:pt>
                <c:pt idx="3">
                  <c:v>335.40000000000003</c:v>
                </c:pt>
                <c:pt idx="4">
                  <c:v>523.70000000000005</c:v>
                </c:pt>
                <c:pt idx="5">
                  <c:v>478.5</c:v>
                </c:pt>
                <c:pt idx="6">
                  <c:v>731.3</c:v>
                </c:pt>
                <c:pt idx="7">
                  <c:v>992.09999999999991</c:v>
                </c:pt>
                <c:pt idx="8">
                  <c:v>525.9</c:v>
                </c:pt>
                <c:pt idx="9">
                  <c:v>321.40000000000003</c:v>
                </c:pt>
              </c:numCache>
            </c:numRef>
          </c:val>
          <c:smooth val="0"/>
          <c:extLst>
            <c:ext xmlns:c16="http://schemas.microsoft.com/office/drawing/2014/chart" uri="{C3380CC4-5D6E-409C-BE32-E72D297353CC}">
              <c16:uniqueId val="{00000000-58C9-426B-B258-DFB6DA89276C}"/>
            </c:ext>
          </c:extLst>
        </c:ser>
        <c:ser>
          <c:idx val="1"/>
          <c:order val="1"/>
          <c:tx>
            <c:strRef>
              <c:f>'line chart'!$E$6</c:f>
              <c:strCache>
                <c:ptCount val="1"/>
                <c:pt idx="0">
                  <c:v>Sum of returns_5yr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'line chart'!$C$7:$C$17</c:f>
              <c:strCache>
                <c:ptCount val="10"/>
                <c:pt idx="0">
                  <c:v>Franklin Templeton Mutual Fund</c:v>
                </c:pt>
                <c:pt idx="1">
                  <c:v>HDFC Mutual Fund</c:v>
                </c:pt>
                <c:pt idx="2">
                  <c:v>HSBC Mutual Fund</c:v>
                </c:pt>
                <c:pt idx="3">
                  <c:v>IDBI Mutual Fund</c:v>
                </c:pt>
                <c:pt idx="4">
                  <c:v>Kotak Mahindra Mutual Fund</c:v>
                </c:pt>
                <c:pt idx="5">
                  <c:v>Quant Mutual Fund</c:v>
                </c:pt>
                <c:pt idx="6">
                  <c:v>SBI Mutual Fund</c:v>
                </c:pt>
                <c:pt idx="7">
                  <c:v>Sundaram Mutual Fund</c:v>
                </c:pt>
                <c:pt idx="8">
                  <c:v>Tata Mutual Fund</c:v>
                </c:pt>
                <c:pt idx="9">
                  <c:v>UTI Mutual Fund</c:v>
                </c:pt>
              </c:strCache>
            </c:strRef>
          </c:cat>
          <c:val>
            <c:numRef>
              <c:f>'line chart'!$E$7:$E$17</c:f>
              <c:numCache>
                <c:formatCode>General</c:formatCode>
                <c:ptCount val="10"/>
                <c:pt idx="0">
                  <c:v>149.40000000000003</c:v>
                </c:pt>
                <c:pt idx="1">
                  <c:v>154</c:v>
                </c:pt>
                <c:pt idx="2">
                  <c:v>164.10000000000002</c:v>
                </c:pt>
                <c:pt idx="3">
                  <c:v>121.20000000000002</c:v>
                </c:pt>
                <c:pt idx="4">
                  <c:v>286.69999999999993</c:v>
                </c:pt>
                <c:pt idx="5">
                  <c:v>197.2</c:v>
                </c:pt>
                <c:pt idx="6">
                  <c:v>337.00000000000006</c:v>
                </c:pt>
                <c:pt idx="7">
                  <c:v>251.00000000000003</c:v>
                </c:pt>
                <c:pt idx="8">
                  <c:v>219.00000000000003</c:v>
                </c:pt>
                <c:pt idx="9">
                  <c:v>117.9</c:v>
                </c:pt>
              </c:numCache>
            </c:numRef>
          </c:val>
          <c:smooth val="0"/>
          <c:extLst>
            <c:ext xmlns:c16="http://schemas.microsoft.com/office/drawing/2014/chart" uri="{C3380CC4-5D6E-409C-BE32-E72D297353CC}">
              <c16:uniqueId val="{00000001-58C9-426B-B258-DFB6DA89276C}"/>
            </c:ext>
          </c:extLst>
        </c:ser>
        <c:ser>
          <c:idx val="2"/>
          <c:order val="2"/>
          <c:tx>
            <c:strRef>
              <c:f>'line chart'!$F$6</c:f>
              <c:strCache>
                <c:ptCount val="1"/>
                <c:pt idx="0">
                  <c:v>Sum of returns_1yr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'line chart'!$C$7:$C$17</c:f>
              <c:strCache>
                <c:ptCount val="10"/>
                <c:pt idx="0">
                  <c:v>Franklin Templeton Mutual Fund</c:v>
                </c:pt>
                <c:pt idx="1">
                  <c:v>HDFC Mutual Fund</c:v>
                </c:pt>
                <c:pt idx="2">
                  <c:v>HSBC Mutual Fund</c:v>
                </c:pt>
                <c:pt idx="3">
                  <c:v>IDBI Mutual Fund</c:v>
                </c:pt>
                <c:pt idx="4">
                  <c:v>Kotak Mahindra Mutual Fund</c:v>
                </c:pt>
                <c:pt idx="5">
                  <c:v>Quant Mutual Fund</c:v>
                </c:pt>
                <c:pt idx="6">
                  <c:v>SBI Mutual Fund</c:v>
                </c:pt>
                <c:pt idx="7">
                  <c:v>Sundaram Mutual Fund</c:v>
                </c:pt>
                <c:pt idx="8">
                  <c:v>Tata Mutual Fund</c:v>
                </c:pt>
                <c:pt idx="9">
                  <c:v>UTI Mutual Fund</c:v>
                </c:pt>
              </c:strCache>
            </c:strRef>
          </c:cat>
          <c:val>
            <c:numRef>
              <c:f>'line chart'!$F$7:$F$17</c:f>
              <c:numCache>
                <c:formatCode>General</c:formatCode>
                <c:ptCount val="10"/>
                <c:pt idx="0">
                  <c:v>71.3</c:v>
                </c:pt>
                <c:pt idx="1">
                  <c:v>125.4</c:v>
                </c:pt>
                <c:pt idx="2">
                  <c:v>61.2</c:v>
                </c:pt>
                <c:pt idx="3">
                  <c:v>15.9</c:v>
                </c:pt>
                <c:pt idx="4">
                  <c:v>184.1</c:v>
                </c:pt>
                <c:pt idx="5">
                  <c:v>64.099999999999994</c:v>
                </c:pt>
                <c:pt idx="6">
                  <c:v>143.19999999999999</c:v>
                </c:pt>
                <c:pt idx="7">
                  <c:v>163.19999999999999</c:v>
                </c:pt>
                <c:pt idx="8">
                  <c:v>72.3</c:v>
                </c:pt>
                <c:pt idx="9">
                  <c:v>102.3</c:v>
                </c:pt>
              </c:numCache>
            </c:numRef>
          </c:val>
          <c:smooth val="0"/>
          <c:extLst>
            <c:ext xmlns:c16="http://schemas.microsoft.com/office/drawing/2014/chart" uri="{C3380CC4-5D6E-409C-BE32-E72D297353CC}">
              <c16:uniqueId val="{00000002-58C9-426B-B258-DFB6DA89276C}"/>
            </c:ext>
          </c:extLst>
        </c:ser>
        <c:dLbls>
          <c:showLegendKey val="0"/>
          <c:showVal val="0"/>
          <c:showCatName val="0"/>
          <c:showSerName val="0"/>
          <c:showPercent val="0"/>
          <c:showBubbleSize val="0"/>
        </c:dLbls>
        <c:marker val="1"/>
        <c:smooth val="0"/>
        <c:axId val="1916604896"/>
        <c:axId val="1916605312"/>
      </c:lineChart>
      <c:catAx>
        <c:axId val="191660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16605312"/>
        <c:crosses val="autoZero"/>
        <c:auto val="1"/>
        <c:lblAlgn val="ctr"/>
        <c:lblOffset val="100"/>
        <c:noMultiLvlLbl val="0"/>
      </c:catAx>
      <c:valAx>
        <c:axId val="1916605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16604896"/>
        <c:crosses val="autoZero"/>
        <c:crossBetween val="between"/>
      </c:valAx>
      <c:spPr>
        <a:noFill/>
        <a:ln>
          <a:noFill/>
        </a:ln>
        <a:effectLst/>
      </c:spPr>
    </c:plotArea>
    <c:legend>
      <c:legendPos val="r"/>
      <c:layout>
        <c:manualLayout>
          <c:xMode val="edge"/>
          <c:yMode val="edge"/>
          <c:x val="0.81770756780402465"/>
          <c:y val="0.14670056867891512"/>
          <c:w val="0.16562576552930883"/>
          <c:h val="0.641784047827354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[comprehensive_mutual_funds_data project.xlsx]column chart!PivotTable2</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10 Schema </a:t>
            </a:r>
          </a:p>
        </c:rich>
      </c:tx>
      <c:layout>
        <c:manualLayout>
          <c:xMode val="edge"/>
          <c:yMode val="edge"/>
          <c:x val="0.37305555555555558"/>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'column chart'!$B$1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'column chart'!$A$2:$A$12</c:f>
              <c:strCache>
                <c:ptCount val="10"/>
                <c:pt idx="0">
                  <c:v>AXIS All Seasons Debt Fund</c:v>
                </c:pt>
                <c:pt idx="1">
                  <c:v>Franklin India Corporate Debt Fund</c:v>
                </c:pt>
                <c:pt idx="2">
                  <c:v>Franklin India Debt Hybrid Fund</c:v>
                </c:pt>
                <c:pt idx="3">
                  <c:v>Franklin India G-Sec Fund</c:v>
                </c:pt>
                <c:pt idx="4">
                  <c:v>HSBC Corporate Bond Fund</c:v>
                </c:pt>
                <c:pt idx="5">
                  <c:v>IIFL Dynamic Bond Fund</c:v>
                </c:pt>
                <c:pt idx="6">
                  <c:v>LIC MF G-Sec Fund</c:v>
                </c:pt>
                <c:pt idx="7">
                  <c:v>SBI Credit Risk Fund</c:v>
                </c:pt>
                <c:pt idx="8">
                  <c:v>Sundaram Multi Cap Fund</c:v>
                </c:pt>
                <c:pt idx="9">
                  <c:v>UTI-Unit Linked Insurance Plan â€“ Direct</c:v>
                </c:pt>
              </c:strCache>
            </c:strRef>
          </c:cat>
          <c:val>
            <c:numRef>
              <c:f>'column chart'!$B$2:$B$12</c:f>
              <c:numCache>
                <c:formatCode>General</c:formatCode>
                <c:ptCount val="10"/>
                <c:pt idx="0">
                  <c:v>5000</c:v>
                </c:pt>
                <c:pt idx="1">
                  <c:v>10000</c:v>
                </c:pt>
                <c:pt idx="2">
                  <c:v>10000</c:v>
                </c:pt>
                <c:pt idx="3">
                  <c:v>10000</c:v>
                </c:pt>
                <c:pt idx="4">
                  <c:v>10000</c:v>
                </c:pt>
                <c:pt idx="5">
                  <c:v>10000</c:v>
                </c:pt>
                <c:pt idx="6">
                  <c:v>10000</c:v>
                </c:pt>
                <c:pt idx="7">
                  <c:v>10000</c:v>
                </c:pt>
                <c:pt idx="8">
                  <c:v>10100</c:v>
                </c:pt>
                <c:pt idx="9">
                  <c:v>15000</c:v>
                </c:pt>
              </c:numCache>
            </c:numRef>
          </c:val>
          <c:extLst>
            <c:ext xmlns:c16="http://schemas.microsoft.com/office/drawing/2014/chart" uri="{C3380CC4-5D6E-409C-BE32-E72D297353CC}">
              <c16:uniqueId val="{00000000-C113-4393-8F6A-541E1D68FEE5}"/>
            </c:ext>
          </c:extLst>
        </c:ser>
        <c:dLbls>
          <c:dLblPos val="outEnd"/>
          <c:showLegendKey val="0"/>
          <c:showVal val="1"/>
          <c:showCatName val="0"/>
          <c:showSerName val="0"/>
          <c:showPercent val="0"/>
          <c:showBubbleSize val="0"/>
        </c:dLbls>
        <c:gapWidth val="219"/>
        <c:overlap val="-27"/>
        <c:axId val="1742340656"/>
        <c:axId val="1742329840"/>
      </c:barChart>
      <c:catAx>
        <c:axId val="1742340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42329840"/>
        <c:crosses val="autoZero"/>
        <c:auto val="1"/>
        <c:lblAlgn val="ctr"/>
        <c:lblOffset val="100"/>
        <c:noMultiLvlLbl val="0"/>
      </c:catAx>
      <c:valAx>
        <c:axId val="17423298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4234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95250</xdr:colOff>
      <xdr:row>3</xdr:row>
      <xdr:rowOff>168275</xdr:rowOff>
    </xdr:from>
    <xdr:to>
      <xdr:col>11</xdr:col>
      <xdr:colOff>400050</xdr:colOff>
      <xdr:row>18</xdr:row>
      <xdr:rowOff>149225</xdr:rowOff>
    </xdr:to>
    <xdr:graphicFrame macro="">
      <xdr:nvGraphicFramePr>
        <xdr:cNvPr id="2" name="Chart 1">
          <a:extLst>
            <a:ext uri="{FF2B5EF4-FFF2-40B4-BE49-F238E27FC236}">
              <a16:creationId xmlns:a16="http://schemas.microsoft.com/office/drawing/2014/main" id="{778C8C08-387A-4089-AFE2-EFFCC726C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114300</xdr:colOff>
      <xdr:row>5</xdr:row>
      <xdr:rowOff>26670</xdr:rowOff>
    </xdr:from>
    <xdr:to>
      <xdr:col>13</xdr:col>
      <xdr:colOff>419100</xdr:colOff>
      <xdr:row>20</xdr:row>
      <xdr:rowOff>26670</xdr:rowOff>
    </xdr:to>
    <mc:AlternateContent xmlns:mc="http://schemas.openxmlformats.org/markup-compatibility/2006">
      <mc:Choice xmlns:cx="http://schemas.microsoft.com/office/drawing/2014/chartex" Requires="cx">
        <xdr:graphicFrame macro="">
          <xdr:nvGraphicFramePr>
            <xdr:cNvPr id="3" name="Chart 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288925</xdr:colOff>
      <xdr:row>2</xdr:row>
      <xdr:rowOff>9525</xdr:rowOff>
    </xdr:from>
    <xdr:to>
      <xdr:col>14</xdr:col>
      <xdr:colOff>593725</xdr:colOff>
      <xdr:row>16</xdr:row>
      <xdr:rowOff>174625</xdr:rowOff>
    </xdr:to>
    <xdr:graphicFrame macro="">
      <xdr:nvGraphicFramePr>
        <xdr:cNvPr id="3" name="Chart 2">
          <a:extLst>
            <a:ext uri="{FF2B5EF4-FFF2-40B4-BE49-F238E27FC236}">
              <a16:creationId xmlns:a16="http://schemas.microsoft.com/office/drawing/2014/main" id="{1B8CEC0A-467F-4D24-AC29-9A11004A1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304800</xdr:colOff>
      <xdr:row>2</xdr:row>
      <xdr:rowOff>123825</xdr:rowOff>
    </xdr:from>
    <xdr:to>
      <xdr:col>12</xdr:col>
      <xdr:colOff>0</xdr:colOff>
      <xdr:row>17</xdr:row>
      <xdr:rowOff>104775</xdr:rowOff>
    </xdr:to>
    <xdr:graphicFrame macro="">
      <xdr:nvGraphicFramePr>
        <xdr:cNvPr id="2" name="Chart 1">
          <a:extLst>
            <a:ext uri="{FF2B5EF4-FFF2-40B4-BE49-F238E27FC236}">
              <a16:creationId xmlns:a16="http://schemas.microsoft.com/office/drawing/2014/main" id="{CA1499B2-FE35-4F57-B3E6-B8F64270D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228600</xdr:colOff>
      <xdr:row>2</xdr:row>
      <xdr:rowOff>180975</xdr:rowOff>
    </xdr:from>
    <xdr:to>
      <xdr:col>24</xdr:col>
      <xdr:colOff>88900</xdr:colOff>
      <xdr:row>17</xdr:row>
      <xdr:rowOff>161925</xdr:rowOff>
    </xdr:to>
    <xdr:graphicFrame macro="">
      <xdr:nvGraphicFramePr>
        <xdr:cNvPr id="2" name="Chart 1">
          <a:extLst>
            <a:ext uri="{FF2B5EF4-FFF2-40B4-BE49-F238E27FC236}">
              <a16:creationId xmlns:a16="http://schemas.microsoft.com/office/drawing/2014/main" id="{47DBDFE7-D5EB-4993-8F2A-0B70E573C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472440</xdr:colOff>
      <xdr:row>1</xdr:row>
      <xdr:rowOff>76200</xdr:rowOff>
    </xdr:from>
    <xdr:to>
      <xdr:col>21</xdr:col>
      <xdr:colOff>106680</xdr:colOff>
      <xdr:row>53</xdr:row>
      <xdr:rowOff>45720</xdr:rowOff>
    </xdr:to>
    <xdr:sp macro="" textlink="">
      <xdr:nvSpPr>
        <xdr:cNvPr id="8" name="Rounded Rectangle 7"/>
        <xdr:cNvSpPr/>
      </xdr:nvSpPr>
      <xdr:spPr>
        <a:xfrm>
          <a:off x="472440" y="259080"/>
          <a:ext cx="12435840" cy="9479280"/>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327660</xdr:colOff>
      <xdr:row>3</xdr:row>
      <xdr:rowOff>22860</xdr:rowOff>
    </xdr:from>
    <xdr:to>
      <xdr:col>19</xdr:col>
      <xdr:colOff>7620</xdr:colOff>
      <xdr:row>8</xdr:row>
      <xdr:rowOff>175260</xdr:rowOff>
    </xdr:to>
    <xdr:sp macro="" textlink="">
      <xdr:nvSpPr>
        <xdr:cNvPr id="9" name="Rounded Rectangle 8"/>
        <xdr:cNvSpPr/>
      </xdr:nvSpPr>
      <xdr:spPr>
        <a:xfrm>
          <a:off x="2156460" y="571500"/>
          <a:ext cx="9433560" cy="1066800"/>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4000" b="0"/>
            <a:t>Mutual</a:t>
          </a:r>
          <a:r>
            <a:rPr lang="en-US" sz="4000" b="0" baseline="0"/>
            <a:t> Funds Data</a:t>
          </a:r>
          <a:endParaRPr lang="en-US" sz="4000" b="0"/>
        </a:p>
      </xdr:txBody>
    </xdr:sp>
    <xdr:clientData/>
  </xdr:twoCellAnchor>
  <xdr:twoCellAnchor>
    <xdr:from>
      <xdr:col>1</xdr:col>
      <xdr:colOff>396240</xdr:colOff>
      <xdr:row>10</xdr:row>
      <xdr:rowOff>167640</xdr:rowOff>
    </xdr:from>
    <xdr:to>
      <xdr:col>4</xdr:col>
      <xdr:colOff>396240</xdr:colOff>
      <xdr:row>15</xdr:row>
      <xdr:rowOff>114300</xdr:rowOff>
    </xdr:to>
    <xdr:sp macro="" textlink="">
      <xdr:nvSpPr>
        <xdr:cNvPr id="10" name="Rounded Rectangle 9"/>
        <xdr:cNvSpPr/>
      </xdr:nvSpPr>
      <xdr:spPr>
        <a:xfrm>
          <a:off x="1005840" y="1996440"/>
          <a:ext cx="1828800" cy="8610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236220</xdr:colOff>
      <xdr:row>10</xdr:row>
      <xdr:rowOff>144780</xdr:rowOff>
    </xdr:from>
    <xdr:to>
      <xdr:col>8</xdr:col>
      <xdr:colOff>236220</xdr:colOff>
      <xdr:row>15</xdr:row>
      <xdr:rowOff>91440</xdr:rowOff>
    </xdr:to>
    <xdr:sp macro="" textlink="">
      <xdr:nvSpPr>
        <xdr:cNvPr id="11" name="Rounded Rectangle 10"/>
        <xdr:cNvSpPr/>
      </xdr:nvSpPr>
      <xdr:spPr>
        <a:xfrm>
          <a:off x="3284220" y="1973580"/>
          <a:ext cx="1828800" cy="8610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106680</xdr:colOff>
      <xdr:row>10</xdr:row>
      <xdr:rowOff>137160</xdr:rowOff>
    </xdr:from>
    <xdr:to>
      <xdr:col>12</xdr:col>
      <xdr:colOff>106680</xdr:colOff>
      <xdr:row>15</xdr:row>
      <xdr:rowOff>83820</xdr:rowOff>
    </xdr:to>
    <xdr:sp macro="" textlink="">
      <xdr:nvSpPr>
        <xdr:cNvPr id="12" name="Rounded Rectangle 11"/>
        <xdr:cNvSpPr/>
      </xdr:nvSpPr>
      <xdr:spPr>
        <a:xfrm>
          <a:off x="5593080" y="1965960"/>
          <a:ext cx="1828800" cy="8610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114300</xdr:colOff>
      <xdr:row>10</xdr:row>
      <xdr:rowOff>121920</xdr:rowOff>
    </xdr:from>
    <xdr:to>
      <xdr:col>16</xdr:col>
      <xdr:colOff>114300</xdr:colOff>
      <xdr:row>15</xdr:row>
      <xdr:rowOff>68580</xdr:rowOff>
    </xdr:to>
    <xdr:sp macro="" textlink="">
      <xdr:nvSpPr>
        <xdr:cNvPr id="13" name="Rounded Rectangle 12"/>
        <xdr:cNvSpPr/>
      </xdr:nvSpPr>
      <xdr:spPr>
        <a:xfrm>
          <a:off x="8039100" y="1950720"/>
          <a:ext cx="1828800" cy="8610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60960</xdr:colOff>
      <xdr:row>10</xdr:row>
      <xdr:rowOff>83820</xdr:rowOff>
    </xdr:from>
    <xdr:to>
      <xdr:col>20</xdr:col>
      <xdr:colOff>60960</xdr:colOff>
      <xdr:row>15</xdr:row>
      <xdr:rowOff>30480</xdr:rowOff>
    </xdr:to>
    <xdr:sp macro="" textlink="">
      <xdr:nvSpPr>
        <xdr:cNvPr id="14" name="Rounded Rectangle 13"/>
        <xdr:cNvSpPr/>
      </xdr:nvSpPr>
      <xdr:spPr>
        <a:xfrm>
          <a:off x="10424160" y="1912620"/>
          <a:ext cx="1828800" cy="8610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563880</xdr:colOff>
      <xdr:row>11</xdr:row>
      <xdr:rowOff>83820</xdr:rowOff>
    </xdr:from>
    <xdr:to>
      <xdr:col>4</xdr:col>
      <xdr:colOff>259080</xdr:colOff>
      <xdr:row>12</xdr:row>
      <xdr:rowOff>160020</xdr:rowOff>
    </xdr:to>
    <xdr:sp macro="" textlink="">
      <xdr:nvSpPr>
        <xdr:cNvPr id="16" name="Rectangle 15"/>
        <xdr:cNvSpPr/>
      </xdr:nvSpPr>
      <xdr:spPr>
        <a:xfrm>
          <a:off x="1173480" y="2095500"/>
          <a:ext cx="1524000" cy="25908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000"/>
            <a:t>Count</a:t>
          </a:r>
          <a:r>
            <a:rPr lang="en-US" sz="1000" baseline="0"/>
            <a:t>  of fund_manager</a:t>
          </a:r>
          <a:endParaRPr lang="en-US" sz="1000"/>
        </a:p>
      </xdr:txBody>
    </xdr:sp>
    <xdr:clientData/>
  </xdr:twoCellAnchor>
  <xdr:twoCellAnchor>
    <xdr:from>
      <xdr:col>5</xdr:col>
      <xdr:colOff>365760</xdr:colOff>
      <xdr:row>11</xdr:row>
      <xdr:rowOff>53340</xdr:rowOff>
    </xdr:from>
    <xdr:to>
      <xdr:col>8</xdr:col>
      <xdr:colOff>60960</xdr:colOff>
      <xdr:row>12</xdr:row>
      <xdr:rowOff>129540</xdr:rowOff>
    </xdr:to>
    <xdr:sp macro="" textlink="">
      <xdr:nvSpPr>
        <xdr:cNvPr id="19" name="Rectangle 18"/>
        <xdr:cNvSpPr/>
      </xdr:nvSpPr>
      <xdr:spPr>
        <a:xfrm>
          <a:off x="3413760" y="2065020"/>
          <a:ext cx="1524000" cy="25908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000"/>
            <a:t>Average</a:t>
          </a:r>
          <a:r>
            <a:rPr lang="en-US" sz="1000" baseline="0"/>
            <a:t>  min_lumpsum</a:t>
          </a:r>
          <a:endParaRPr lang="en-US" sz="1000"/>
        </a:p>
      </xdr:txBody>
    </xdr:sp>
    <xdr:clientData/>
  </xdr:twoCellAnchor>
  <xdr:twoCellAnchor>
    <xdr:from>
      <xdr:col>9</xdr:col>
      <xdr:colOff>259080</xdr:colOff>
      <xdr:row>11</xdr:row>
      <xdr:rowOff>45720</xdr:rowOff>
    </xdr:from>
    <xdr:to>
      <xdr:col>11</xdr:col>
      <xdr:colOff>563880</xdr:colOff>
      <xdr:row>12</xdr:row>
      <xdr:rowOff>121920</xdr:rowOff>
    </xdr:to>
    <xdr:sp macro="" textlink="">
      <xdr:nvSpPr>
        <xdr:cNvPr id="20" name="Rectangle 19"/>
        <xdr:cNvSpPr/>
      </xdr:nvSpPr>
      <xdr:spPr>
        <a:xfrm>
          <a:off x="5745480" y="2057400"/>
          <a:ext cx="1524000" cy="25908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000"/>
            <a:t>Count</a:t>
          </a:r>
          <a:r>
            <a:rPr lang="en-US" sz="1000" baseline="0"/>
            <a:t>  of scheme_name</a:t>
          </a:r>
          <a:endParaRPr lang="en-US" sz="1000"/>
        </a:p>
      </xdr:txBody>
    </xdr:sp>
    <xdr:clientData/>
  </xdr:twoCellAnchor>
  <xdr:twoCellAnchor>
    <xdr:from>
      <xdr:col>13</xdr:col>
      <xdr:colOff>243840</xdr:colOff>
      <xdr:row>11</xdr:row>
      <xdr:rowOff>30480</xdr:rowOff>
    </xdr:from>
    <xdr:to>
      <xdr:col>15</xdr:col>
      <xdr:colOff>548640</xdr:colOff>
      <xdr:row>12</xdr:row>
      <xdr:rowOff>106680</xdr:rowOff>
    </xdr:to>
    <xdr:sp macro="" textlink="">
      <xdr:nvSpPr>
        <xdr:cNvPr id="21" name="Rectangle 20"/>
        <xdr:cNvSpPr/>
      </xdr:nvSpPr>
      <xdr:spPr>
        <a:xfrm>
          <a:off x="8168640" y="2042160"/>
          <a:ext cx="1524000" cy="25908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000"/>
            <a:t>Average</a:t>
          </a:r>
          <a:r>
            <a:rPr lang="en-US" sz="1000" baseline="0"/>
            <a:t> risk_level</a:t>
          </a:r>
          <a:endParaRPr lang="en-US" sz="1000"/>
        </a:p>
      </xdr:txBody>
    </xdr:sp>
    <xdr:clientData/>
  </xdr:twoCellAnchor>
  <xdr:twoCellAnchor>
    <xdr:from>
      <xdr:col>17</xdr:col>
      <xdr:colOff>205740</xdr:colOff>
      <xdr:row>11</xdr:row>
      <xdr:rowOff>0</xdr:rowOff>
    </xdr:from>
    <xdr:to>
      <xdr:col>19</xdr:col>
      <xdr:colOff>510540</xdr:colOff>
      <xdr:row>12</xdr:row>
      <xdr:rowOff>76200</xdr:rowOff>
    </xdr:to>
    <xdr:sp macro="" textlink="">
      <xdr:nvSpPr>
        <xdr:cNvPr id="22" name="Rectangle 21"/>
        <xdr:cNvSpPr/>
      </xdr:nvSpPr>
      <xdr:spPr>
        <a:xfrm>
          <a:off x="10568940" y="2011680"/>
          <a:ext cx="1524000" cy="25908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000"/>
            <a:t>Average</a:t>
          </a:r>
          <a:r>
            <a:rPr lang="en-US" sz="1000" baseline="0"/>
            <a:t> expense_ratio</a:t>
          </a:r>
          <a:endParaRPr lang="en-US" sz="1000"/>
        </a:p>
      </xdr:txBody>
    </xdr:sp>
    <xdr:clientData/>
  </xdr:twoCellAnchor>
  <xdr:twoCellAnchor>
    <xdr:from>
      <xdr:col>2</xdr:col>
      <xdr:colOff>121920</xdr:colOff>
      <xdr:row>13</xdr:row>
      <xdr:rowOff>76200</xdr:rowOff>
    </xdr:from>
    <xdr:to>
      <xdr:col>4</xdr:col>
      <xdr:colOff>76200</xdr:colOff>
      <xdr:row>14</xdr:row>
      <xdr:rowOff>114300</xdr:rowOff>
    </xdr:to>
    <xdr:sp macro="" textlink="kpi!J15">
      <xdr:nvSpPr>
        <xdr:cNvPr id="23" name="TextBox 22"/>
        <xdr:cNvSpPr txBox="1"/>
      </xdr:nvSpPr>
      <xdr:spPr>
        <a:xfrm>
          <a:off x="1341120" y="2453640"/>
          <a:ext cx="1173480" cy="22098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4091D3-4FB8-49B3-AD7A-503E6B7AAA09}" type="TxLink">
            <a:rPr lang="en-US" sz="1100" b="0" i="0" u="none" strike="noStrike">
              <a:solidFill>
                <a:srgbClr val="000000"/>
              </a:solidFill>
              <a:latin typeface="Calibri"/>
              <a:ea typeface="Calibri"/>
              <a:cs typeface="Calibri"/>
            </a:rPr>
            <a:pPr algn="ctr"/>
            <a:t>488</a:t>
          </a:fld>
          <a:endParaRPr lang="en-US" sz="1100"/>
        </a:p>
      </xdr:txBody>
    </xdr:sp>
    <xdr:clientData/>
  </xdr:twoCellAnchor>
  <xdr:twoCellAnchor>
    <xdr:from>
      <xdr:col>5</xdr:col>
      <xdr:colOff>594360</xdr:colOff>
      <xdr:row>13</xdr:row>
      <xdr:rowOff>53340</xdr:rowOff>
    </xdr:from>
    <xdr:to>
      <xdr:col>7</xdr:col>
      <xdr:colOff>518160</xdr:colOff>
      <xdr:row>14</xdr:row>
      <xdr:rowOff>83820</xdr:rowOff>
    </xdr:to>
    <xdr:sp macro="" textlink="kpi!G15">
      <xdr:nvSpPr>
        <xdr:cNvPr id="24" name="TextBox 23"/>
        <xdr:cNvSpPr txBox="1"/>
      </xdr:nvSpPr>
      <xdr:spPr>
        <a:xfrm>
          <a:off x="3642360" y="2430780"/>
          <a:ext cx="114300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FE4BDC-51DB-4B4D-AE85-C5B1752436C6}" type="TxLink">
            <a:rPr lang="en-US" sz="1100" b="0" i="0" u="none" strike="noStrike">
              <a:solidFill>
                <a:srgbClr val="000000"/>
              </a:solidFill>
              <a:latin typeface="Calibri"/>
              <a:ea typeface="Calibri"/>
              <a:cs typeface="Calibri"/>
            </a:rPr>
            <a:pPr algn="ctr"/>
            <a:t>3202</a:t>
          </a:fld>
          <a:endParaRPr lang="en-US" sz="1100"/>
        </a:p>
      </xdr:txBody>
    </xdr:sp>
    <xdr:clientData/>
  </xdr:twoCellAnchor>
  <xdr:twoCellAnchor>
    <xdr:from>
      <xdr:col>9</xdr:col>
      <xdr:colOff>426720</xdr:colOff>
      <xdr:row>13</xdr:row>
      <xdr:rowOff>53340</xdr:rowOff>
    </xdr:from>
    <xdr:to>
      <xdr:col>11</xdr:col>
      <xdr:colOff>373380</xdr:colOff>
      <xdr:row>14</xdr:row>
      <xdr:rowOff>76200</xdr:rowOff>
    </xdr:to>
    <xdr:sp macro="" textlink="kpi!K15">
      <xdr:nvSpPr>
        <xdr:cNvPr id="25" name="TextBox 24"/>
        <xdr:cNvSpPr txBox="1"/>
      </xdr:nvSpPr>
      <xdr:spPr>
        <a:xfrm>
          <a:off x="5913120" y="2430780"/>
          <a:ext cx="116586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6ABC7-0296-4DD8-87C8-F8F7CA9DB612}" type="TxLink">
            <a:rPr lang="en-US" sz="1100" b="0" i="0" u="none" strike="noStrike">
              <a:solidFill>
                <a:srgbClr val="000000"/>
              </a:solidFill>
              <a:latin typeface="Calibri"/>
              <a:ea typeface="Calibri"/>
              <a:cs typeface="Calibri"/>
            </a:rPr>
            <a:pPr algn="ctr"/>
            <a:t>488</a:t>
          </a:fld>
          <a:endParaRPr lang="en-US" sz="1100"/>
        </a:p>
      </xdr:txBody>
    </xdr:sp>
    <xdr:clientData/>
  </xdr:twoCellAnchor>
  <xdr:twoCellAnchor>
    <xdr:from>
      <xdr:col>13</xdr:col>
      <xdr:colOff>464820</xdr:colOff>
      <xdr:row>13</xdr:row>
      <xdr:rowOff>38100</xdr:rowOff>
    </xdr:from>
    <xdr:to>
      <xdr:col>15</xdr:col>
      <xdr:colOff>411480</xdr:colOff>
      <xdr:row>14</xdr:row>
      <xdr:rowOff>68580</xdr:rowOff>
    </xdr:to>
    <xdr:sp macro="" textlink="kpi!H15">
      <xdr:nvSpPr>
        <xdr:cNvPr id="26" name="TextBox 25"/>
        <xdr:cNvSpPr txBox="1"/>
      </xdr:nvSpPr>
      <xdr:spPr>
        <a:xfrm>
          <a:off x="8389620" y="2415540"/>
          <a:ext cx="116586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8286F2-E3B4-4F7C-8F84-39B516BC3EC1}" type="TxLink">
            <a:rPr lang="en-US" sz="1100" b="0" i="0" u="none" strike="noStrike">
              <a:solidFill>
                <a:srgbClr val="000000"/>
              </a:solidFill>
              <a:latin typeface="Calibri"/>
              <a:ea typeface="Calibri"/>
              <a:cs typeface="Calibri"/>
            </a:rPr>
            <a:pPr algn="ctr"/>
            <a:t>4</a:t>
          </a:fld>
          <a:endParaRPr lang="en-US" sz="1100"/>
        </a:p>
      </xdr:txBody>
    </xdr:sp>
    <xdr:clientData/>
  </xdr:twoCellAnchor>
  <xdr:twoCellAnchor>
    <xdr:from>
      <xdr:col>17</xdr:col>
      <xdr:colOff>373380</xdr:colOff>
      <xdr:row>13</xdr:row>
      <xdr:rowOff>30480</xdr:rowOff>
    </xdr:from>
    <xdr:to>
      <xdr:col>19</xdr:col>
      <xdr:colOff>304800</xdr:colOff>
      <xdr:row>14</xdr:row>
      <xdr:rowOff>53340</xdr:rowOff>
    </xdr:to>
    <xdr:sp macro="" textlink="kpi!$I15">
      <xdr:nvSpPr>
        <xdr:cNvPr id="27" name="TextBox 26"/>
        <xdr:cNvSpPr txBox="1"/>
      </xdr:nvSpPr>
      <xdr:spPr>
        <a:xfrm>
          <a:off x="10736580" y="2407920"/>
          <a:ext cx="115062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AE3E58-4D5C-442F-9824-B6158F933949}" type="TxLink">
            <a:rPr lang="en-US" sz="1100" b="0" i="0" u="none" strike="noStrike">
              <a:solidFill>
                <a:srgbClr val="000000"/>
              </a:solidFill>
              <a:latin typeface="Calibri"/>
              <a:ea typeface="Calibri"/>
              <a:cs typeface="Calibri"/>
            </a:rPr>
            <a:pPr algn="ctr"/>
            <a:t>0.7</a:t>
          </a:fld>
          <a:endParaRPr lang="en-US" sz="1100"/>
        </a:p>
      </xdr:txBody>
    </xdr:sp>
    <xdr:clientData/>
  </xdr:twoCellAnchor>
  <xdr:twoCellAnchor>
    <xdr:from>
      <xdr:col>1</xdr:col>
      <xdr:colOff>190500</xdr:colOff>
      <xdr:row>16</xdr:row>
      <xdr:rowOff>175260</xdr:rowOff>
    </xdr:from>
    <xdr:to>
      <xdr:col>8</xdr:col>
      <xdr:colOff>378460</xdr:colOff>
      <xdr:row>31</xdr:row>
      <xdr:rowOff>156210</xdr:rowOff>
    </xdr:to>
    <xdr:graphicFrame macro="">
      <xdr:nvGraphicFramePr>
        <xdr:cNvPr id="28" name="Chart 27">
          <a:extLst>
            <a:ext uri="{FF2B5EF4-FFF2-40B4-BE49-F238E27FC236}">
              <a16:creationId xmlns:a16="http://schemas.microsoft.com/office/drawing/2014/main" id="{47DBDFE7-D5EB-4993-8F2A-0B70E573C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xdr:colOff>
      <xdr:row>17</xdr:row>
      <xdr:rowOff>7620</xdr:rowOff>
    </xdr:from>
    <xdr:to>
      <xdr:col>16</xdr:col>
      <xdr:colOff>350520</xdr:colOff>
      <xdr:row>31</xdr:row>
      <xdr:rowOff>171450</xdr:rowOff>
    </xdr:to>
    <xdr:graphicFrame macro="">
      <xdr:nvGraphicFramePr>
        <xdr:cNvPr id="29" name="Chart 28">
          <a:extLst>
            <a:ext uri="{FF2B5EF4-FFF2-40B4-BE49-F238E27FC236}">
              <a16:creationId xmlns:a16="http://schemas.microsoft.com/office/drawing/2014/main" id="{CA1499B2-FE35-4F57-B3E6-B8F64270D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152400</xdr:colOff>
      <xdr:row>33</xdr:row>
      <xdr:rowOff>144780</xdr:rowOff>
    </xdr:from>
    <xdr:to>
      <xdr:col>8</xdr:col>
      <xdr:colOff>388620</xdr:colOff>
      <xdr:row>48</xdr:row>
      <xdr:rowOff>127000</xdr:rowOff>
    </xdr:to>
    <xdr:graphicFrame macro="">
      <xdr:nvGraphicFramePr>
        <xdr:cNvPr id="30" name="Chart 29">
          <a:extLst>
            <a:ext uri="{FF2B5EF4-FFF2-40B4-BE49-F238E27FC236}">
              <a16:creationId xmlns:a16="http://schemas.microsoft.com/office/drawing/2014/main" id="{1B8CEC0A-467F-4D24-AC29-9A11004A1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53340</xdr:colOff>
      <xdr:row>33</xdr:row>
      <xdr:rowOff>167640</xdr:rowOff>
    </xdr:from>
    <xdr:to>
      <xdr:col>16</xdr:col>
      <xdr:colOff>358140</xdr:colOff>
      <xdr:row>48</xdr:row>
      <xdr:rowOff>148590</xdr:rowOff>
    </xdr:to>
    <xdr:graphicFrame macro="">
      <xdr:nvGraphicFramePr>
        <xdr:cNvPr id="31" name="Chart 30">
          <a:extLst>
            <a:ext uri="{FF2B5EF4-FFF2-40B4-BE49-F238E27FC236}">
              <a16:creationId xmlns:a16="http://schemas.microsoft.com/office/drawing/2014/main" id="{778C8C08-387A-4089-AFE2-EFFCC726C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99060</xdr:colOff>
      <xdr:row>16</xdr:row>
      <xdr:rowOff>129541</xdr:rowOff>
    </xdr:from>
    <xdr:to>
      <xdr:col>20</xdr:col>
      <xdr:colOff>99060</xdr:colOff>
      <xdr:row>23</xdr:row>
      <xdr:rowOff>38101</xdr:rowOff>
    </xdr:to>
    <mc:AlternateContent xmlns:mc="http://schemas.openxmlformats.org/markup-compatibility/2006" xmlns:a14="http://schemas.microsoft.com/office/drawing/2010/main">
      <mc:Choice Requires="a14">
        <xdr:graphicFrame macro="">
          <xdr:nvGraphicFramePr>
            <xdr:cNvPr id="32" name="min_sip 1"/>
            <xdr:cNvGraphicFramePr/>
          </xdr:nvGraphicFramePr>
          <xdr:xfrm>
            <a:off x="0" y="0"/>
            <a:ext cx="0" cy="0"/>
          </xdr:xfrm>
          <a:graphic>
            <a:graphicData uri="http://schemas.microsoft.com/office/drawing/2010/slicer">
              <sle:slicer xmlns:sle="http://schemas.microsoft.com/office/drawing/2010/slicer" name="min_sip 1"/>
            </a:graphicData>
          </a:graphic>
        </xdr:graphicFrame>
      </mc:Choice>
      <mc:Fallback xmlns="">
        <xdr:sp macro="" textlink="">
          <xdr:nvSpPr>
            <xdr:cNvPr id="0" name=""/>
            <xdr:cNvSpPr>
              <a:spLocks noTextEdit="1"/>
            </xdr:cNvSpPr>
          </xdr:nvSpPr>
          <xdr:spPr>
            <a:xfrm>
              <a:off x="10462260" y="3055621"/>
              <a:ext cx="18288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106680</xdr:colOff>
      <xdr:row>24</xdr:row>
      <xdr:rowOff>60960</xdr:rowOff>
    </xdr:from>
    <xdr:to>
      <xdr:col>20</xdr:col>
      <xdr:colOff>106680</xdr:colOff>
      <xdr:row>37</xdr:row>
      <xdr:rowOff>150495</xdr:rowOff>
    </xdr:to>
    <mc:AlternateContent xmlns:mc="http://schemas.openxmlformats.org/markup-compatibility/2006" xmlns:a14="http://schemas.microsoft.com/office/drawing/2010/main">
      <mc:Choice Requires="a14">
        <xdr:graphicFrame macro="">
          <xdr:nvGraphicFramePr>
            <xdr:cNvPr id="35" name="fund_age_yr 1"/>
            <xdr:cNvGraphicFramePr/>
          </xdr:nvGraphicFramePr>
          <xdr:xfrm>
            <a:off x="0" y="0"/>
            <a:ext cx="0" cy="0"/>
          </xdr:xfrm>
          <a:graphic>
            <a:graphicData uri="http://schemas.microsoft.com/office/drawing/2010/slicer">
              <sle:slicer xmlns:sle="http://schemas.microsoft.com/office/drawing/2010/slicer" name="fund_age_yr 1"/>
            </a:graphicData>
          </a:graphic>
        </xdr:graphicFrame>
      </mc:Choice>
      <mc:Fallback xmlns="">
        <xdr:sp macro="" textlink="">
          <xdr:nvSpPr>
            <xdr:cNvPr id="0" name=""/>
            <xdr:cNvSpPr>
              <a:spLocks noTextEdit="1"/>
            </xdr:cNvSpPr>
          </xdr:nvSpPr>
          <xdr:spPr>
            <a:xfrm>
              <a:off x="10469880" y="4450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121920</xdr:colOff>
      <xdr:row>39</xdr:row>
      <xdr:rowOff>1</xdr:rowOff>
    </xdr:from>
    <xdr:to>
      <xdr:col>20</xdr:col>
      <xdr:colOff>121920</xdr:colOff>
      <xdr:row>48</xdr:row>
      <xdr:rowOff>99061</xdr:rowOff>
    </xdr:to>
    <mc:AlternateContent xmlns:mc="http://schemas.openxmlformats.org/markup-compatibility/2006" xmlns:a14="http://schemas.microsoft.com/office/drawing/2010/main">
      <mc:Choice Requires="a14">
        <xdr:graphicFrame macro="">
          <xdr:nvGraphicFramePr>
            <xdr:cNvPr id="37"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485120" y="7132321"/>
              <a:ext cx="1828800" cy="174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525780</xdr:colOff>
      <xdr:row>15</xdr:row>
      <xdr:rowOff>68580</xdr:rowOff>
    </xdr:from>
    <xdr:to>
      <xdr:col>9</xdr:col>
      <xdr:colOff>800100</xdr:colOff>
      <xdr:row>28</xdr:row>
      <xdr:rowOff>158115</xdr:rowOff>
    </xdr:to>
    <mc:AlternateContent xmlns:mc="http://schemas.openxmlformats.org/markup-compatibility/2006" xmlns:a14="http://schemas.microsoft.com/office/drawing/2010/main">
      <mc:Choice Requires="a14">
        <xdr:graphicFrame macro="">
          <xdr:nvGraphicFramePr>
            <xdr:cNvPr id="2" name="min_sip"/>
            <xdr:cNvGraphicFramePr/>
          </xdr:nvGraphicFramePr>
          <xdr:xfrm>
            <a:off x="0" y="0"/>
            <a:ext cx="0" cy="0"/>
          </xdr:xfrm>
          <a:graphic>
            <a:graphicData uri="http://schemas.microsoft.com/office/drawing/2010/slicer">
              <sle:slicer xmlns:sle="http://schemas.microsoft.com/office/drawing/2010/slicer" name="min_sip"/>
            </a:graphicData>
          </a:graphic>
        </xdr:graphicFrame>
      </mc:Choice>
      <mc:Fallback xmlns="">
        <xdr:sp macro="" textlink="">
          <xdr:nvSpPr>
            <xdr:cNvPr id="0" name=""/>
            <xdr:cNvSpPr>
              <a:spLocks noTextEdit="1"/>
            </xdr:cNvSpPr>
          </xdr:nvSpPr>
          <xdr:spPr>
            <a:xfrm>
              <a:off x="7871460" y="2811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1234440</xdr:colOff>
      <xdr:row>15</xdr:row>
      <xdr:rowOff>76200</xdr:rowOff>
    </xdr:from>
    <xdr:to>
      <xdr:col>8</xdr:col>
      <xdr:colOff>213360</xdr:colOff>
      <xdr:row>28</xdr:row>
      <xdr:rowOff>165735</xdr:rowOff>
    </xdr:to>
    <mc:AlternateContent xmlns:mc="http://schemas.openxmlformats.org/markup-compatibility/2006" xmlns:a14="http://schemas.microsoft.com/office/drawing/2010/main">
      <mc:Choice Requires="a14">
        <xdr:graphicFrame macro="">
          <xdr:nvGraphicFramePr>
            <xdr:cNvPr id="4" name="fund_age_yr"/>
            <xdr:cNvGraphicFramePr/>
          </xdr:nvGraphicFramePr>
          <xdr:xfrm>
            <a:off x="0" y="0"/>
            <a:ext cx="0" cy="0"/>
          </xdr:xfrm>
          <a:graphic>
            <a:graphicData uri="http://schemas.microsoft.com/office/drawing/2010/slicer">
              <sle:slicer xmlns:sle="http://schemas.microsoft.com/office/drawing/2010/slicer" name="fund_age_yr"/>
            </a:graphicData>
          </a:graphic>
        </xdr:graphicFrame>
      </mc:Choice>
      <mc:Fallback xmlns="">
        <xdr:sp macro="" textlink="">
          <xdr:nvSpPr>
            <xdr:cNvPr id="0" name=""/>
            <xdr:cNvSpPr>
              <a:spLocks noTextEdit="1"/>
            </xdr:cNvSpPr>
          </xdr:nvSpPr>
          <xdr:spPr>
            <a:xfrm>
              <a:off x="5730240" y="2819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1463040</xdr:colOff>
      <xdr:row>15</xdr:row>
      <xdr:rowOff>60960</xdr:rowOff>
    </xdr:from>
    <xdr:to>
      <xdr:col>11</xdr:col>
      <xdr:colOff>350520</xdr:colOff>
      <xdr:row>28</xdr:row>
      <xdr:rowOff>150495</xdr:rowOff>
    </xdr:to>
    <mc:AlternateContent xmlns:mc="http://schemas.openxmlformats.org/markup-compatibility/2006" xmlns:a14="http://schemas.microsoft.com/office/drawing/2010/main">
      <mc:Choice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63200" y="2804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10 Pro" refreshedDate="45875.927045370372" createdVersion="7" refreshedVersion="7" minRefreshableVersion="3" recordCount="488">
  <cacheSource type="worksheet">
    <worksheetSource name="table1"/>
  </cacheSource>
  <cacheFields count="20">
    <cacheField name="scheme_name" numFmtId="0">
      <sharedItems/>
    </cacheField>
    <cacheField name="min_sip" numFmtId="0">
      <sharedItems containsSemiMixedTypes="0" containsString="0" containsNumber="1" containsInteger="1" minValue="0" maxValue="2000"/>
    </cacheField>
    <cacheField name="min_lumpsum" numFmtId="0">
      <sharedItems containsSemiMixedTypes="0" containsString="0" containsNumber="1" containsInteger="1" minValue="10" maxValue="15000"/>
    </cacheField>
    <cacheField name="expense_ratio" numFmtId="0">
      <sharedItems containsSemiMixedTypes="0" containsString="0" containsNumber="1" minValue="0.05" maxValue="2.59"/>
    </cacheField>
    <cacheField name="fund_size_cr" numFmtId="0">
      <sharedItems containsSemiMixedTypes="0" containsString="0" containsNumber="1" minValue="2.38" maxValue="54492"/>
    </cacheField>
    <cacheField name="fund_age_yr" numFmtId="0">
      <sharedItems containsSemiMixedTypes="0" containsString="0" containsNumber="1" containsInteger="1" minValue="2" maxValue="17"/>
    </cacheField>
    <cacheField name="fund_manager" numFmtId="0">
      <sharedItems/>
    </cacheField>
    <cacheField name="sortino" numFmtId="0">
      <sharedItems containsMixedTypes="1" containsNumber="1" minValue="-1.77" maxValue="12.57"/>
    </cacheField>
    <cacheField name="alpha" numFmtId="0">
      <sharedItems containsMixedTypes="1" containsNumber="1" minValue="-6.29" maxValue="27.24"/>
    </cacheField>
    <cacheField name="sd" numFmtId="0">
      <sharedItems containsMixedTypes="1" containsNumber="1" minValue="0.27" maxValue="25.79"/>
    </cacheField>
    <cacheField name="beta" numFmtId="0">
      <sharedItems containsMixedTypes="1" containsNumber="1" minValue="-2.54" maxValue="5.4"/>
    </cacheField>
    <cacheField name="sharpe" numFmtId="0">
      <sharedItems containsMixedTypes="1" containsNumber="1" minValue="-0.82" maxValue="3.52"/>
    </cacheField>
    <cacheField name="risk_level" numFmtId="0">
      <sharedItems containsSemiMixedTypes="0" containsString="0" containsNumber="1" containsInteger="1" minValue="1" maxValue="6"/>
    </cacheField>
    <cacheField name="amc_name" numFmtId="0">
      <sharedItems/>
    </cacheField>
    <cacheField name="rating" numFmtId="0">
      <sharedItems containsSemiMixedTypes="0" containsString="0" containsNumber="1" containsInteger="1" minValue="0" maxValue="5"/>
    </cacheField>
    <cacheField name="category" numFmtId="0">
      <sharedItems/>
    </cacheField>
    <cacheField name="sub_category" numFmtId="0">
      <sharedItems/>
    </cacheField>
    <cacheField name="returns_1yr" numFmtId="0">
      <sharedItems containsSemiMixedTypes="0" containsString="0" containsNumber="1" minValue="-16" maxValue="28.3"/>
    </cacheField>
    <cacheField name="returns_3yr" numFmtId="0">
      <sharedItems containsString="0" containsBlank="1" containsNumber="1" minValue="3.3" maxValue="71.400000000000006"/>
    </cacheField>
    <cacheField name="returns_5yr" numFmtId="0">
      <sharedItems containsString="0" containsBlank="1" containsNumber="1" minValue="-0.9" maxValue="23.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Windows 10 Pro" refreshedDate="45875.944813541668" backgroundQuery="1" createdVersion="7" refreshedVersion="7" minRefreshableVersion="3" recordCount="0" supportSubquery="1" supportAdvancedDrill="1">
  <cacheSource type="external" connectionId="1"/>
  <cacheFields count="2">
    <cacheField name="[table1].[fund_manager].[fund_manager]" caption="fund_manager" numFmtId="0" hierarchy="6" level="1">
      <sharedItems count="10">
        <s v="Aditya Mulki"/>
        <s v="Alok Ranjan"/>
        <s v="Deepak Agrawal"/>
        <s v="Dwijendra Srivastava"/>
        <s v="Gurvinder Singh Wasan"/>
        <s v="Manish Banthia"/>
        <s v="R Srinivasan"/>
        <s v="Ritesh Jain"/>
        <s v="Rohit Seksaria"/>
        <s v="Sanjeev Sharma"/>
      </sharedItems>
    </cacheField>
    <cacheField name="[Measures].[Sum of fund_age_yr]" caption="Sum of fund_age_yr" numFmtId="0" hierarchy="23" level="32767"/>
  </cacheFields>
  <cacheHierarchies count="37">
    <cacheHierarchy uniqueName="[table1].[scheme_name]" caption="scheme_name" attribute="1" defaultMemberUniqueName="[table1].[scheme_name].[All]" allUniqueName="[table1].[scheme_name].[All]" dimensionUniqueName="[table1]" displayFolder="" count="0" memberValueDatatype="130" unbalanced="0"/>
    <cacheHierarchy uniqueName="[table1].[min_sip]" caption="min_sip" attribute="1" defaultMemberUniqueName="[table1].[min_sip].[All]" allUniqueName="[table1].[min_sip].[All]" dimensionUniqueName="[table1]" displayFolder="" count="0" memberValueDatatype="20" unbalanced="0"/>
    <cacheHierarchy uniqueName="[table1].[min_lumpsum]" caption="min_lumpsum" attribute="1" defaultMemberUniqueName="[table1].[min_lumpsum].[All]" allUniqueName="[table1].[min_lumpsum].[All]" dimensionUniqueName="[table1]" displayFolder="" count="0" memberValueDatatype="20" unbalanced="0"/>
    <cacheHierarchy uniqueName="[table1].[expense_ratio]" caption="expense_ratio" attribute="1" defaultMemberUniqueName="[table1].[expense_ratio].[All]" allUniqueName="[table1].[expense_ratio].[All]" dimensionUniqueName="[table1]" displayFolder="" count="0" memberValueDatatype="5" unbalanced="0"/>
    <cacheHierarchy uniqueName="[table1].[fund_size_cr]" caption="fund_size_cr" attribute="1" defaultMemberUniqueName="[table1].[fund_size_cr].[All]" allUniqueName="[table1].[fund_size_cr].[All]" dimensionUniqueName="[table1]" displayFolder="" count="0" memberValueDatatype="5" unbalanced="0"/>
    <cacheHierarchy uniqueName="[table1].[fund_age_yr]" caption="fund_age_yr" attribute="1" defaultMemberUniqueName="[table1].[fund_age_yr].[All]" allUniqueName="[table1].[fund_age_yr].[All]" dimensionUniqueName="[table1]" displayFolder="" count="0" memberValueDatatype="20" unbalanced="0"/>
    <cacheHierarchy uniqueName="[table1].[fund_manager]" caption="fund_manager" attribute="1" defaultMemberUniqueName="[table1].[fund_manager].[All]" allUniqueName="[table1].[fund_manager].[All]" dimensionUniqueName="[table1]" displayFolder="" count="2" memberValueDatatype="130" unbalanced="0">
      <fieldsUsage count="2">
        <fieldUsage x="-1"/>
        <fieldUsage x="0"/>
      </fieldsUsage>
    </cacheHierarchy>
    <cacheHierarchy uniqueName="[table1].[sortino]" caption="sortino" attribute="1" defaultMemberUniqueName="[table1].[sortino].[All]" allUniqueName="[table1].[sortino].[All]" dimensionUniqueName="[table1]" displayFolder="" count="0" memberValueDatatype="130" unbalanced="0"/>
    <cacheHierarchy uniqueName="[table1].[alpha]" caption="alpha" attribute="1" defaultMemberUniqueName="[table1].[alpha].[All]" allUniqueName="[table1].[alpha].[All]" dimensionUniqueName="[table1]" displayFolder="" count="0" memberValueDatatype="130" unbalanced="0"/>
    <cacheHierarchy uniqueName="[table1].[sd]" caption="sd" attribute="1" defaultMemberUniqueName="[table1].[sd].[All]" allUniqueName="[table1].[sd].[All]" dimensionUniqueName="[table1]" displayFolder="" count="0" memberValueDatatype="130" unbalanced="0"/>
    <cacheHierarchy uniqueName="[table1].[beta]" caption="beta" attribute="1" defaultMemberUniqueName="[table1].[beta].[All]" allUniqueName="[table1].[beta].[All]" dimensionUniqueName="[table1]" displayFolder="" count="0" memberValueDatatype="130" unbalanced="0"/>
    <cacheHierarchy uniqueName="[table1].[sharpe]" caption="sharpe" attribute="1" defaultMemberUniqueName="[table1].[sharpe].[All]" allUniqueName="[table1].[sharpe].[All]" dimensionUniqueName="[table1]" displayFolder="" count="0" memberValueDatatype="130" unbalanced="0"/>
    <cacheHierarchy uniqueName="[table1].[risk_level]" caption="risk_level" attribute="1" defaultMemberUniqueName="[table1].[risk_level].[All]" allUniqueName="[table1].[risk_level].[All]" dimensionUniqueName="[table1]" displayFolder="" count="0" memberValueDatatype="20" unbalanced="0"/>
    <cacheHierarchy uniqueName="[table1].[amc_name]" caption="amc_name" attribute="1" defaultMemberUniqueName="[table1].[amc_name].[All]" allUniqueName="[table1].[amc_name].[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table1].[sub_category]" caption="sub_category" attribute="1" defaultMemberUniqueName="[table1].[sub_category].[All]" allUniqueName="[table1].[sub_category].[All]" dimensionUniqueName="[table1]" displayFolder="" count="0" memberValueDatatype="130" unbalanced="0"/>
    <cacheHierarchy uniqueName="[table1].[returns_1yr]" caption="returns_1yr" attribute="1" defaultMemberUniqueName="[table1].[returns_1yr].[All]" allUniqueName="[table1].[returns_1yr].[All]" dimensionUniqueName="[table1]" displayFolder="" count="0" memberValueDatatype="5" unbalanced="0"/>
    <cacheHierarchy uniqueName="[table1].[returns_3yr]" caption="returns_3yr" attribute="1" defaultMemberUniqueName="[table1].[returns_3yr].[All]" allUniqueName="[table1].[returns_3yr].[All]" dimensionUniqueName="[table1]" displayFolder="" count="0" memberValueDatatype="5" unbalanced="0"/>
    <cacheHierarchy uniqueName="[table1].[returns_5yr]" caption="returns_5yr" attribute="1" defaultMemberUniqueName="[table1].[returns_5yr].[All]" allUniqueName="[table1].[returns_5yr].[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in_lumpsum]" caption="Sum of min_lumpsum" measure="1" displayFolder="" measureGroup="table1" count="0" hidden="1">
      <extLst>
        <ext xmlns:x15="http://schemas.microsoft.com/office/spreadsheetml/2010/11/main" uri="{B97F6D7D-B522-45F9-BDA1-12C45D357490}">
          <x15:cacheHierarchy aggregatedColumn="2"/>
        </ext>
      </extLst>
    </cacheHierarchy>
    <cacheHierarchy uniqueName="[Measures].[Sum of fund_age_yr]" caption="Sum of fund_age_yr"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fund_age_yr]" caption="Average of fund_age_yr" measure="1" displayFolder="" measureGroup="table1" count="0" hidden="1">
      <extLst>
        <ext xmlns:x15="http://schemas.microsoft.com/office/spreadsheetml/2010/11/main" uri="{B97F6D7D-B522-45F9-BDA1-12C45D357490}">
          <x15:cacheHierarchy aggregatedColumn="5"/>
        </ext>
      </extLst>
    </cacheHierarchy>
    <cacheHierarchy uniqueName="[Measures].[Count of fund_manager]" caption="Count of fund_manager" measure="1" displayFolder="" measureGroup="table1" count="0" hidden="1">
      <extLst>
        <ext xmlns:x15="http://schemas.microsoft.com/office/spreadsheetml/2010/11/main" uri="{B97F6D7D-B522-45F9-BDA1-12C45D357490}">
          <x15:cacheHierarchy aggregatedColumn="6"/>
        </ext>
      </extLst>
    </cacheHierarchy>
    <cacheHierarchy uniqueName="[Measures].[Sum of returns_1yr]" caption="Sum of returns_1yr" measure="1" displayFolder="" measureGroup="table1" count="0" hidden="1">
      <extLst>
        <ext xmlns:x15="http://schemas.microsoft.com/office/spreadsheetml/2010/11/main" uri="{B97F6D7D-B522-45F9-BDA1-12C45D357490}">
          <x15:cacheHierarchy aggregatedColumn="17"/>
        </ext>
      </extLst>
    </cacheHierarchy>
    <cacheHierarchy uniqueName="[Measures].[Sum of returns_3yr]" caption="Sum of returns_3yr" measure="1" displayFolder="" measureGroup="table1" count="0" hidden="1">
      <extLst>
        <ext xmlns:x15="http://schemas.microsoft.com/office/spreadsheetml/2010/11/main" uri="{B97F6D7D-B522-45F9-BDA1-12C45D357490}">
          <x15:cacheHierarchy aggregatedColumn="18"/>
        </ext>
      </extLst>
    </cacheHierarchy>
    <cacheHierarchy uniqueName="[Measures].[Sum of returns_5yr]" caption="Sum of returns_5yr" measure="1" displayFolder="" measureGroup="table1" count="0" hidden="1">
      <extLst>
        <ext xmlns:x15="http://schemas.microsoft.com/office/spreadsheetml/2010/11/main" uri="{B97F6D7D-B522-45F9-BDA1-12C45D357490}">
          <x15:cacheHierarchy aggregatedColumn="19"/>
        </ext>
      </extLst>
    </cacheHierarchy>
    <cacheHierarchy uniqueName="[Measures].[Average of returns_3yr]" caption="Average of returns_3yr" measure="1" displayFolder="" measureGroup="table1" count="0" hidden="1">
      <extLst>
        <ext xmlns:x15="http://schemas.microsoft.com/office/spreadsheetml/2010/11/main" uri="{B97F6D7D-B522-45F9-BDA1-12C45D357490}">
          <x15:cacheHierarchy aggregatedColumn="18"/>
        </ext>
      </extLst>
    </cacheHierarchy>
    <cacheHierarchy uniqueName="[Measures].[Count of scheme_name]" caption="Count of scheme_name" measure="1" displayFolder="" measureGroup="table1" count="0" hidden="1">
      <extLst>
        <ext xmlns:x15="http://schemas.microsoft.com/office/spreadsheetml/2010/11/main" uri="{B97F6D7D-B522-45F9-BDA1-12C45D357490}">
          <x15:cacheHierarchy aggregatedColumn="0"/>
        </ext>
      </extLst>
    </cacheHierarchy>
    <cacheHierarchy uniqueName="[Measures].[Sum of expense_ratio]" caption="Sum of expense_ratio" measure="1" displayFolder="" measureGroup="table1" count="0" hidden="1">
      <extLst>
        <ext xmlns:x15="http://schemas.microsoft.com/office/spreadsheetml/2010/11/main" uri="{B97F6D7D-B522-45F9-BDA1-12C45D357490}">
          <x15:cacheHierarchy aggregatedColumn="3"/>
        </ext>
      </extLst>
    </cacheHierarchy>
    <cacheHierarchy uniqueName="[Measures].[Sum of risk_level]" caption="Sum of risk_level" measure="1" displayFolder="" measureGroup="table1" count="0" hidden="1">
      <extLst>
        <ext xmlns:x15="http://schemas.microsoft.com/office/spreadsheetml/2010/11/main" uri="{B97F6D7D-B522-45F9-BDA1-12C45D357490}">
          <x15:cacheHierarchy aggregatedColumn="12"/>
        </ext>
      </extLst>
    </cacheHierarchy>
    <cacheHierarchy uniqueName="[Measures].[Average of min_lumpsum]" caption="Average of min_lumpsum" measure="1" displayFolder="" measureGroup="table1" count="0" hidden="1">
      <extLst>
        <ext xmlns:x15="http://schemas.microsoft.com/office/spreadsheetml/2010/11/main" uri="{B97F6D7D-B522-45F9-BDA1-12C45D357490}">
          <x15:cacheHierarchy aggregatedColumn="2"/>
        </ext>
      </extLst>
    </cacheHierarchy>
    <cacheHierarchy uniqueName="[Measures].[Average of risk_level]" caption="Average of risk_level" measure="1" displayFolder="" measureGroup="table1" count="0" hidden="1">
      <extLst>
        <ext xmlns:x15="http://schemas.microsoft.com/office/spreadsheetml/2010/11/main" uri="{B97F6D7D-B522-45F9-BDA1-12C45D357490}">
          <x15:cacheHierarchy aggregatedColumn="12"/>
        </ext>
      </extLst>
    </cacheHierarchy>
    <cacheHierarchy uniqueName="[Measures].[Average of expense_ratio]" caption="Average of expense_ratio" measure="1" displayFolder="" measureGroup="table1"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intel" refreshedDate="45879.822490046296" backgroundQuery="1" createdVersion="7" refreshedVersion="6" minRefreshableVersion="3" recordCount="0" supportSubquery="1" supportAdvancedDrill="1">
  <cacheSource type="external" connectionId="1"/>
  <cacheFields count="6">
    <cacheField name="[Measures].[Count of fund_manager]" caption="Count of fund_manager" numFmtId="0" hierarchy="25" level="32767"/>
    <cacheField name="[Measures].[Count of scheme_name]" caption="Count of scheme_name" numFmtId="0" hierarchy="30" level="32767"/>
    <cacheField name="[Measures].[Average of min_lumpsum]" caption="Average of min_lumpsum" numFmtId="0" hierarchy="33" level="32767"/>
    <cacheField name="[Measures].[Average of risk_level]" caption="Average of risk_level" numFmtId="0" hierarchy="34" level="32767"/>
    <cacheField name="[Measures].[Average of expense_ratio]" caption="Average of expense_ratio" numFmtId="0" hierarchy="35" level="32767"/>
    <cacheField name="[table1].[min_sip].[min_sip]" caption="min_sip" numFmtId="0" hierarchy="1" level="1">
      <sharedItems containsSemiMixedTypes="0" containsNonDate="0" containsString="0"/>
    </cacheField>
  </cacheFields>
  <cacheHierarchies count="37">
    <cacheHierarchy uniqueName="[table1].[scheme_name]" caption="scheme_name" attribute="1" defaultMemberUniqueName="[table1].[scheme_name].[All]" allUniqueName="[table1].[scheme_name].[All]" dimensionUniqueName="[table1]" displayFolder="" count="2" memberValueDatatype="130" unbalanced="0"/>
    <cacheHierarchy uniqueName="[table1].[min_sip]" caption="min_sip" attribute="1" defaultMemberUniqueName="[table1].[min_sip].[All]" allUniqueName="[table1].[min_sip].[All]" dimensionUniqueName="[table1]" displayFolder="" count="2" memberValueDatatype="20" unbalanced="0">
      <fieldsUsage count="2">
        <fieldUsage x="-1"/>
        <fieldUsage x="5"/>
      </fieldsUsage>
    </cacheHierarchy>
    <cacheHierarchy uniqueName="[table1].[min_lumpsum]" caption="min_lumpsum" attribute="1" defaultMemberUniqueName="[table1].[min_lumpsum].[All]" allUniqueName="[table1].[min_lumpsum].[All]" dimensionUniqueName="[table1]" displayFolder="" count="2" memberValueDatatype="20" unbalanced="0"/>
    <cacheHierarchy uniqueName="[table1].[expense_ratio]" caption="expense_ratio" attribute="1" defaultMemberUniqueName="[table1].[expense_ratio].[All]" allUniqueName="[table1].[expense_ratio].[All]" dimensionUniqueName="[table1]" displayFolder="" count="2" memberValueDatatype="5" unbalanced="0"/>
    <cacheHierarchy uniqueName="[table1].[fund_size_cr]" caption="fund_size_cr" attribute="1" defaultMemberUniqueName="[table1].[fund_size_cr].[All]" allUniqueName="[table1].[fund_size_cr].[All]" dimensionUniqueName="[table1]" displayFolder="" count="2" memberValueDatatype="5" unbalanced="0"/>
    <cacheHierarchy uniqueName="[table1].[fund_age_yr]" caption="fund_age_yr" attribute="1" defaultMemberUniqueName="[table1].[fund_age_yr].[All]" allUniqueName="[table1].[fund_age_yr].[All]" dimensionUniqueName="[table1]" displayFolder="" count="2" memberValueDatatype="20" unbalanced="0"/>
    <cacheHierarchy uniqueName="[table1].[fund_manager]" caption="fund_manager" attribute="1" defaultMemberUniqueName="[table1].[fund_manager].[All]" allUniqueName="[table1].[fund_manager].[All]" dimensionUniqueName="[table1]" displayFolder="" count="2" memberValueDatatype="130" unbalanced="0"/>
    <cacheHierarchy uniqueName="[table1].[sortino]" caption="sortino" attribute="1" defaultMemberUniqueName="[table1].[sortino].[All]" allUniqueName="[table1].[sortino].[All]" dimensionUniqueName="[table1]" displayFolder="" count="2" memberValueDatatype="130" unbalanced="0"/>
    <cacheHierarchy uniqueName="[table1].[alpha]" caption="alpha" attribute="1" defaultMemberUniqueName="[table1].[alpha].[All]" allUniqueName="[table1].[alpha].[All]" dimensionUniqueName="[table1]" displayFolder="" count="2" memberValueDatatype="130" unbalanced="0"/>
    <cacheHierarchy uniqueName="[table1].[sd]" caption="sd" attribute="1" defaultMemberUniqueName="[table1].[sd].[All]" allUniqueName="[table1].[sd].[All]" dimensionUniqueName="[table1]" displayFolder="" count="2" memberValueDatatype="130" unbalanced="0"/>
    <cacheHierarchy uniqueName="[table1].[beta]" caption="beta" attribute="1" defaultMemberUniqueName="[table1].[beta].[All]" allUniqueName="[table1].[beta].[All]" dimensionUniqueName="[table1]" displayFolder="" count="2" memberValueDatatype="130" unbalanced="0"/>
    <cacheHierarchy uniqueName="[table1].[sharpe]" caption="sharpe" attribute="1" defaultMemberUniqueName="[table1].[sharpe].[All]" allUniqueName="[table1].[sharpe].[All]" dimensionUniqueName="[table1]" displayFolder="" count="2" memberValueDatatype="130" unbalanced="0"/>
    <cacheHierarchy uniqueName="[table1].[risk_level]" caption="risk_level" attribute="1" defaultMemberUniqueName="[table1].[risk_level].[All]" allUniqueName="[table1].[risk_level].[All]" dimensionUniqueName="[table1]" displayFolder="" count="2" memberValueDatatype="20" unbalanced="0"/>
    <cacheHierarchy uniqueName="[table1].[amc_name]" caption="amc_name" attribute="1" defaultMemberUniqueName="[table1].[amc_name].[All]" allUniqueName="[table1].[amc_name].[All]" dimensionUniqueName="[table1]" displayFolder="" count="2" memberValueDatatype="130" unbalanced="0"/>
    <cacheHierarchy uniqueName="[table1].[rating]" caption="rating" attribute="1" defaultMemberUniqueName="[table1].[rating].[All]" allUniqueName="[table1].[rating].[All]" dimensionUniqueName="[table1]" displayFolder="" count="2" memberValueDatatype="20" unbalanced="0"/>
    <cacheHierarchy uniqueName="[table1].[category]" caption="category" attribute="1" defaultMemberUniqueName="[table1].[category].[All]" allUniqueName="[table1].[category].[All]" dimensionUniqueName="[table1]" displayFolder="" count="2" memberValueDatatype="130" unbalanced="0"/>
    <cacheHierarchy uniqueName="[table1].[sub_category]" caption="sub_category" attribute="1" defaultMemberUniqueName="[table1].[sub_category].[All]" allUniqueName="[table1].[sub_category].[All]" dimensionUniqueName="[table1]" displayFolder="" count="2" memberValueDatatype="130" unbalanced="0"/>
    <cacheHierarchy uniqueName="[table1].[returns_1yr]" caption="returns_1yr" attribute="1" defaultMemberUniqueName="[table1].[returns_1yr].[All]" allUniqueName="[table1].[returns_1yr].[All]" dimensionUniqueName="[table1]" displayFolder="" count="2" memberValueDatatype="5" unbalanced="0"/>
    <cacheHierarchy uniqueName="[table1].[returns_3yr]" caption="returns_3yr" attribute="1" defaultMemberUniqueName="[table1].[returns_3yr].[All]" allUniqueName="[table1].[returns_3yr].[All]" dimensionUniqueName="[table1]" displayFolder="" count="2" memberValueDatatype="5" unbalanced="0"/>
    <cacheHierarchy uniqueName="[table1].[returns_5yr]" caption="returns_5yr" attribute="1" defaultMemberUniqueName="[table1].[returns_5yr].[All]" allUniqueName="[table1].[returns_5yr].[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in_lumpsum]" caption="Sum of min_lumpsum" measure="1" displayFolder="" measureGroup="table1" count="0" hidden="1">
      <extLst>
        <ext xmlns:x15="http://schemas.microsoft.com/office/spreadsheetml/2010/11/main" uri="{B97F6D7D-B522-45F9-BDA1-12C45D357490}">
          <x15:cacheHierarchy aggregatedColumn="2"/>
        </ext>
      </extLst>
    </cacheHierarchy>
    <cacheHierarchy uniqueName="[Measures].[Sum of fund_age_yr]" caption="Sum of fund_age_yr" measure="1" displayFolder="" measureGroup="table1" count="0" hidden="1">
      <extLst>
        <ext xmlns:x15="http://schemas.microsoft.com/office/spreadsheetml/2010/11/main" uri="{B97F6D7D-B522-45F9-BDA1-12C45D357490}">
          <x15:cacheHierarchy aggregatedColumn="5"/>
        </ext>
      </extLst>
    </cacheHierarchy>
    <cacheHierarchy uniqueName="[Measures].[Average of fund_age_yr]" caption="Average of fund_age_yr" measure="1" displayFolder="" measureGroup="table1" count="0" hidden="1">
      <extLst>
        <ext xmlns:x15="http://schemas.microsoft.com/office/spreadsheetml/2010/11/main" uri="{B97F6D7D-B522-45F9-BDA1-12C45D357490}">
          <x15:cacheHierarchy aggregatedColumn="5"/>
        </ext>
      </extLst>
    </cacheHierarchy>
    <cacheHierarchy uniqueName="[Measures].[Count of fund_manager]" caption="Count of fund_manager"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returns_1yr]" caption="Sum of returns_1yr" measure="1" displayFolder="" measureGroup="table1" count="0" hidden="1">
      <extLst>
        <ext xmlns:x15="http://schemas.microsoft.com/office/spreadsheetml/2010/11/main" uri="{B97F6D7D-B522-45F9-BDA1-12C45D357490}">
          <x15:cacheHierarchy aggregatedColumn="17"/>
        </ext>
      </extLst>
    </cacheHierarchy>
    <cacheHierarchy uniqueName="[Measures].[Sum of returns_3yr]" caption="Sum of returns_3yr" measure="1" displayFolder="" measureGroup="table1" count="0" hidden="1">
      <extLst>
        <ext xmlns:x15="http://schemas.microsoft.com/office/spreadsheetml/2010/11/main" uri="{B97F6D7D-B522-45F9-BDA1-12C45D357490}">
          <x15:cacheHierarchy aggregatedColumn="18"/>
        </ext>
      </extLst>
    </cacheHierarchy>
    <cacheHierarchy uniqueName="[Measures].[Sum of returns_5yr]" caption="Sum of returns_5yr" measure="1" displayFolder="" measureGroup="table1" count="0" hidden="1">
      <extLst>
        <ext xmlns:x15="http://schemas.microsoft.com/office/spreadsheetml/2010/11/main" uri="{B97F6D7D-B522-45F9-BDA1-12C45D357490}">
          <x15:cacheHierarchy aggregatedColumn="19"/>
        </ext>
      </extLst>
    </cacheHierarchy>
    <cacheHierarchy uniqueName="[Measures].[Average of returns_3yr]" caption="Average of returns_3yr" measure="1" displayFolder="" measureGroup="table1" count="0" hidden="1">
      <extLst>
        <ext xmlns:x15="http://schemas.microsoft.com/office/spreadsheetml/2010/11/main" uri="{B97F6D7D-B522-45F9-BDA1-12C45D357490}">
          <x15:cacheHierarchy aggregatedColumn="18"/>
        </ext>
      </extLst>
    </cacheHierarchy>
    <cacheHierarchy uniqueName="[Measures].[Count of scheme_name]" caption="Count of scheme_name"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expense_ratio]" caption="Sum of expense_ratio" measure="1" displayFolder="" measureGroup="table1" count="0" hidden="1">
      <extLst>
        <ext xmlns:x15="http://schemas.microsoft.com/office/spreadsheetml/2010/11/main" uri="{B97F6D7D-B522-45F9-BDA1-12C45D357490}">
          <x15:cacheHierarchy aggregatedColumn="3"/>
        </ext>
      </extLst>
    </cacheHierarchy>
    <cacheHierarchy uniqueName="[Measures].[Sum of risk_level]" caption="Sum of risk_level" measure="1" displayFolder="" measureGroup="table1" count="0" hidden="1">
      <extLst>
        <ext xmlns:x15="http://schemas.microsoft.com/office/spreadsheetml/2010/11/main" uri="{B97F6D7D-B522-45F9-BDA1-12C45D357490}">
          <x15:cacheHierarchy aggregatedColumn="12"/>
        </ext>
      </extLst>
    </cacheHierarchy>
    <cacheHierarchy uniqueName="[Measures].[Average of min_lumpsum]" caption="Average of min_lumpsum" measure="1" displayFolder="" measureGroup="table1" count="0" oneField="1" hidden="1">
      <fieldsUsage count="1">
        <fieldUsage x="2"/>
      </fieldsUsage>
      <extLst>
        <ext xmlns:x15="http://schemas.microsoft.com/office/spreadsheetml/2010/11/main" uri="{B97F6D7D-B522-45F9-BDA1-12C45D357490}">
          <x15:cacheHierarchy aggregatedColumn="2"/>
        </ext>
      </extLst>
    </cacheHierarchy>
    <cacheHierarchy uniqueName="[Measures].[Average of risk_level]" caption="Average of risk_level"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Average of expense_ratio]" caption="Average of expense_ratio" measure="1" displayFolder="" measureGroup="table1" count="0" oneField="1" hidden="1">
      <fieldsUsage count="1">
        <fieldUsage x="4"/>
      </fieldsUsage>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intel" refreshedDate="45879.822490625003" backgroundQuery="1" createdVersion="7" refreshedVersion="6" minRefreshableVersion="3" recordCount="0" supportSubquery="1" supportAdvancedDrill="1">
  <cacheSource type="external" connectionId="1"/>
  <cacheFields count="3">
    <cacheField name="[table1].[scheme_name].[scheme_name]" caption="scheme_name" numFmtId="0" level="1">
      <sharedItems count="10">
        <s v="AXIS All Seasons Debt Fund"/>
        <s v="Franklin India Corporate Debt Fund"/>
        <s v="Franklin India Debt Hybrid Fund"/>
        <s v="Franklin India G-Sec Fund"/>
        <s v="HSBC Corporate Bond Fund"/>
        <s v="IIFL Dynamic Bond Fund"/>
        <s v="LIC MF G-Sec Fund"/>
        <s v="SBI Credit Risk Fund"/>
        <s v="Sundaram Multi Cap Fund"/>
        <s v="UTI-Unit Linked Insurance Plan â€“ Direct"/>
      </sharedItems>
    </cacheField>
    <cacheField name="[Measures].[Sum of min_lumpsum]" caption="Sum of min_lumpsum" numFmtId="0" hierarchy="22" level="32767"/>
    <cacheField name="[table1].[min_sip].[min_sip]" caption="min_sip" numFmtId="0" hierarchy="1" level="1">
      <sharedItems containsSemiMixedTypes="0" containsNonDate="0" containsString="0"/>
    </cacheField>
  </cacheFields>
  <cacheHierarchies count="37">
    <cacheHierarchy uniqueName="[table1].[scheme_name]" caption="scheme_name" attribute="1" defaultMemberUniqueName="[table1].[scheme_name].[All]" allUniqueName="[table1].[scheme_name].[All]" dimensionUniqueName="[table1]" displayFolder="" count="2" memberValueDatatype="130" unbalanced="0">
      <fieldsUsage count="2">
        <fieldUsage x="-1"/>
        <fieldUsage x="0"/>
      </fieldsUsage>
    </cacheHierarchy>
    <cacheHierarchy uniqueName="[table1].[min_sip]" caption="min_sip" attribute="1" defaultMemberUniqueName="[table1].[min_sip].[All]" allUniqueName="[table1].[min_sip].[All]" dimensionUniqueName="[table1]" displayFolder="" count="2" memberValueDatatype="20" unbalanced="0">
      <fieldsUsage count="2">
        <fieldUsage x="-1"/>
        <fieldUsage x="2"/>
      </fieldsUsage>
    </cacheHierarchy>
    <cacheHierarchy uniqueName="[table1].[min_lumpsum]" caption="min_lumpsum" attribute="1" defaultMemberUniqueName="[table1].[min_lumpsum].[All]" allUniqueName="[table1].[min_lumpsum].[All]" dimensionUniqueName="[table1]" displayFolder="" count="0" memberValueDatatype="20" unbalanced="0"/>
    <cacheHierarchy uniqueName="[table1].[expense_ratio]" caption="expense_ratio" attribute="1" defaultMemberUniqueName="[table1].[expense_ratio].[All]" allUniqueName="[table1].[expense_ratio].[All]" dimensionUniqueName="[table1]" displayFolder="" count="0" memberValueDatatype="5" unbalanced="0"/>
    <cacheHierarchy uniqueName="[table1].[fund_size_cr]" caption="fund_size_cr" attribute="1" defaultMemberUniqueName="[table1].[fund_size_cr].[All]" allUniqueName="[table1].[fund_size_cr].[All]" dimensionUniqueName="[table1]" displayFolder="" count="0" memberValueDatatype="5" unbalanced="0"/>
    <cacheHierarchy uniqueName="[table1].[fund_age_yr]" caption="fund_age_yr" attribute="1" defaultMemberUniqueName="[table1].[fund_age_yr].[All]" allUniqueName="[table1].[fund_age_yr].[All]" dimensionUniqueName="[table1]" displayFolder="" count="2" memberValueDatatype="20" unbalanced="0"/>
    <cacheHierarchy uniqueName="[table1].[fund_manager]" caption="fund_manager" attribute="1" defaultMemberUniqueName="[table1].[fund_manager].[All]" allUniqueName="[table1].[fund_manager].[All]" dimensionUniqueName="[table1]" displayFolder="" count="0" memberValueDatatype="130" unbalanced="0"/>
    <cacheHierarchy uniqueName="[table1].[sortino]" caption="sortino" attribute="1" defaultMemberUniqueName="[table1].[sortino].[All]" allUniqueName="[table1].[sortino].[All]" dimensionUniqueName="[table1]" displayFolder="" count="0" memberValueDatatype="130" unbalanced="0"/>
    <cacheHierarchy uniqueName="[table1].[alpha]" caption="alpha" attribute="1" defaultMemberUniqueName="[table1].[alpha].[All]" allUniqueName="[table1].[alpha].[All]" dimensionUniqueName="[table1]" displayFolder="" count="0" memberValueDatatype="130" unbalanced="0"/>
    <cacheHierarchy uniqueName="[table1].[sd]" caption="sd" attribute="1" defaultMemberUniqueName="[table1].[sd].[All]" allUniqueName="[table1].[sd].[All]" dimensionUniqueName="[table1]" displayFolder="" count="0" memberValueDatatype="130" unbalanced="0"/>
    <cacheHierarchy uniqueName="[table1].[beta]" caption="beta" attribute="1" defaultMemberUniqueName="[table1].[beta].[All]" allUniqueName="[table1].[beta].[All]" dimensionUniqueName="[table1]" displayFolder="" count="0" memberValueDatatype="130" unbalanced="0"/>
    <cacheHierarchy uniqueName="[table1].[sharpe]" caption="sharpe" attribute="1" defaultMemberUniqueName="[table1].[sharpe].[All]" allUniqueName="[table1].[sharpe].[All]" dimensionUniqueName="[table1]" displayFolder="" count="0" memberValueDatatype="130" unbalanced="0"/>
    <cacheHierarchy uniqueName="[table1].[risk_level]" caption="risk_level" attribute="1" defaultMemberUniqueName="[table1].[risk_level].[All]" allUniqueName="[table1].[risk_level].[All]" dimensionUniqueName="[table1]" displayFolder="" count="0" memberValueDatatype="20" unbalanced="0"/>
    <cacheHierarchy uniqueName="[table1].[amc_name]" caption="amc_name" attribute="1" defaultMemberUniqueName="[table1].[amc_name].[All]" allUniqueName="[table1].[amc_name].[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category]" caption="category" attribute="1" defaultMemberUniqueName="[table1].[category].[All]" allUniqueName="[table1].[category].[All]" dimensionUniqueName="[table1]" displayFolder="" count="2" memberValueDatatype="130" unbalanced="0"/>
    <cacheHierarchy uniqueName="[table1].[sub_category]" caption="sub_category" attribute="1" defaultMemberUniqueName="[table1].[sub_category].[All]" allUniqueName="[table1].[sub_category].[All]" dimensionUniqueName="[table1]" displayFolder="" count="0" memberValueDatatype="130" unbalanced="0"/>
    <cacheHierarchy uniqueName="[table1].[returns_1yr]" caption="returns_1yr" attribute="1" defaultMemberUniqueName="[table1].[returns_1yr].[All]" allUniqueName="[table1].[returns_1yr].[All]" dimensionUniqueName="[table1]" displayFolder="" count="0" memberValueDatatype="5" unbalanced="0"/>
    <cacheHierarchy uniqueName="[table1].[returns_3yr]" caption="returns_3yr" attribute="1" defaultMemberUniqueName="[table1].[returns_3yr].[All]" allUniqueName="[table1].[returns_3yr].[All]" dimensionUniqueName="[table1]" displayFolder="" count="0" memberValueDatatype="5" unbalanced="0"/>
    <cacheHierarchy uniqueName="[table1].[returns_5yr]" caption="returns_5yr" attribute="1" defaultMemberUniqueName="[table1].[returns_5yr].[All]" allUniqueName="[table1].[returns_5yr].[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in_lumpsum]" caption="Sum of min_lumpsum"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fund_age_yr]" caption="Sum of fund_age_yr" measure="1" displayFolder="" measureGroup="table1" count="0" hidden="1">
      <extLst>
        <ext xmlns:x15="http://schemas.microsoft.com/office/spreadsheetml/2010/11/main" uri="{B97F6D7D-B522-45F9-BDA1-12C45D357490}">
          <x15:cacheHierarchy aggregatedColumn="5"/>
        </ext>
      </extLst>
    </cacheHierarchy>
    <cacheHierarchy uniqueName="[Measures].[Average of fund_age_yr]" caption="Average of fund_age_yr" measure="1" displayFolder="" measureGroup="table1" count="0" hidden="1">
      <extLst>
        <ext xmlns:x15="http://schemas.microsoft.com/office/spreadsheetml/2010/11/main" uri="{B97F6D7D-B522-45F9-BDA1-12C45D357490}">
          <x15:cacheHierarchy aggregatedColumn="5"/>
        </ext>
      </extLst>
    </cacheHierarchy>
    <cacheHierarchy uniqueName="[Measures].[Count of fund_manager]" caption="Count of fund_manager" measure="1" displayFolder="" measureGroup="table1" count="0" hidden="1">
      <extLst>
        <ext xmlns:x15="http://schemas.microsoft.com/office/spreadsheetml/2010/11/main" uri="{B97F6D7D-B522-45F9-BDA1-12C45D357490}">
          <x15:cacheHierarchy aggregatedColumn="6"/>
        </ext>
      </extLst>
    </cacheHierarchy>
    <cacheHierarchy uniqueName="[Measures].[Sum of returns_1yr]" caption="Sum of returns_1yr" measure="1" displayFolder="" measureGroup="table1" count="0" hidden="1">
      <extLst>
        <ext xmlns:x15="http://schemas.microsoft.com/office/spreadsheetml/2010/11/main" uri="{B97F6D7D-B522-45F9-BDA1-12C45D357490}">
          <x15:cacheHierarchy aggregatedColumn="17"/>
        </ext>
      </extLst>
    </cacheHierarchy>
    <cacheHierarchy uniqueName="[Measures].[Sum of returns_3yr]" caption="Sum of returns_3yr" measure="1" displayFolder="" measureGroup="table1" count="0" hidden="1">
      <extLst>
        <ext xmlns:x15="http://schemas.microsoft.com/office/spreadsheetml/2010/11/main" uri="{B97F6D7D-B522-45F9-BDA1-12C45D357490}">
          <x15:cacheHierarchy aggregatedColumn="18"/>
        </ext>
      </extLst>
    </cacheHierarchy>
    <cacheHierarchy uniqueName="[Measures].[Sum of returns_5yr]" caption="Sum of returns_5yr" measure="1" displayFolder="" measureGroup="table1" count="0" hidden="1">
      <extLst>
        <ext xmlns:x15="http://schemas.microsoft.com/office/spreadsheetml/2010/11/main" uri="{B97F6D7D-B522-45F9-BDA1-12C45D357490}">
          <x15:cacheHierarchy aggregatedColumn="19"/>
        </ext>
      </extLst>
    </cacheHierarchy>
    <cacheHierarchy uniqueName="[Measures].[Average of returns_3yr]" caption="Average of returns_3yr" measure="1" displayFolder="" measureGroup="table1" count="0" hidden="1">
      <extLst>
        <ext xmlns:x15="http://schemas.microsoft.com/office/spreadsheetml/2010/11/main" uri="{B97F6D7D-B522-45F9-BDA1-12C45D357490}">
          <x15:cacheHierarchy aggregatedColumn="18"/>
        </ext>
      </extLst>
    </cacheHierarchy>
    <cacheHierarchy uniqueName="[Measures].[Count of scheme_name]" caption="Count of scheme_name" measure="1" displayFolder="" measureGroup="table1" count="0" hidden="1">
      <extLst>
        <ext xmlns:x15="http://schemas.microsoft.com/office/spreadsheetml/2010/11/main" uri="{B97F6D7D-B522-45F9-BDA1-12C45D357490}">
          <x15:cacheHierarchy aggregatedColumn="0"/>
        </ext>
      </extLst>
    </cacheHierarchy>
    <cacheHierarchy uniqueName="[Measures].[Sum of expense_ratio]" caption="Sum of expense_ratio" measure="1" displayFolder="" measureGroup="table1" count="0" hidden="1">
      <extLst>
        <ext xmlns:x15="http://schemas.microsoft.com/office/spreadsheetml/2010/11/main" uri="{B97F6D7D-B522-45F9-BDA1-12C45D357490}">
          <x15:cacheHierarchy aggregatedColumn="3"/>
        </ext>
      </extLst>
    </cacheHierarchy>
    <cacheHierarchy uniqueName="[Measures].[Sum of risk_level]" caption="Sum of risk_level" measure="1" displayFolder="" measureGroup="table1" count="0" hidden="1">
      <extLst>
        <ext xmlns:x15="http://schemas.microsoft.com/office/spreadsheetml/2010/11/main" uri="{B97F6D7D-B522-45F9-BDA1-12C45D357490}">
          <x15:cacheHierarchy aggregatedColumn="12"/>
        </ext>
      </extLst>
    </cacheHierarchy>
    <cacheHierarchy uniqueName="[Measures].[Average of min_lumpsum]" caption="Average of min_lumpsum" measure="1" displayFolder="" measureGroup="table1" count="0" hidden="1">
      <extLst>
        <ext xmlns:x15="http://schemas.microsoft.com/office/spreadsheetml/2010/11/main" uri="{B97F6D7D-B522-45F9-BDA1-12C45D357490}">
          <x15:cacheHierarchy aggregatedColumn="2"/>
        </ext>
      </extLst>
    </cacheHierarchy>
    <cacheHierarchy uniqueName="[Measures].[Average of risk_level]" caption="Average of risk_level" measure="1" displayFolder="" measureGroup="table1" count="0" hidden="1">
      <extLst>
        <ext xmlns:x15="http://schemas.microsoft.com/office/spreadsheetml/2010/11/main" uri="{B97F6D7D-B522-45F9-BDA1-12C45D357490}">
          <x15:cacheHierarchy aggregatedColumn="12"/>
        </ext>
      </extLst>
    </cacheHierarchy>
    <cacheHierarchy uniqueName="[Measures].[Average of expense_ratio]" caption="Average of expense_ratio" measure="1" displayFolder="" measureGroup="table1"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intel" refreshedDate="45879.822491319443" backgroundQuery="1" createdVersion="7" refreshedVersion="6" minRefreshableVersion="3" recordCount="0" supportSubquery="1" supportAdvancedDrill="1">
  <cacheSource type="external" connectionId="1"/>
  <cacheFields count="3">
    <cacheField name="[table1].[category].[category]" caption="category" numFmtId="0" hierarchy="15" level="1">
      <sharedItems count="5">
        <s v="Debt"/>
        <s v="Equity"/>
        <s v="Hybrid"/>
        <s v="Other"/>
        <s v="Solution Oriented"/>
      </sharedItems>
    </cacheField>
    <cacheField name="[Measures].[Sum of risk_level]" caption="Sum of risk_level" numFmtId="0" hierarchy="32" level="32767"/>
    <cacheField name="[table1].[min_sip].[min_sip]" caption="min_sip" numFmtId="0" hierarchy="1" level="1">
      <sharedItems containsSemiMixedTypes="0" containsNonDate="0" containsString="0"/>
    </cacheField>
  </cacheFields>
  <cacheHierarchies count="37">
    <cacheHierarchy uniqueName="[table1].[scheme_name]" caption="scheme_name" attribute="1" defaultMemberUniqueName="[table1].[scheme_name].[All]" allUniqueName="[table1].[scheme_name].[All]" dimensionUniqueName="[table1]" displayFolder="" count="2" memberValueDatatype="130" unbalanced="0"/>
    <cacheHierarchy uniqueName="[table1].[min_sip]" caption="min_sip" attribute="1" defaultMemberUniqueName="[table1].[min_sip].[All]" allUniqueName="[table1].[min_sip].[All]" dimensionUniqueName="[table1]" displayFolder="" count="2" memberValueDatatype="20" unbalanced="0">
      <fieldsUsage count="2">
        <fieldUsage x="-1"/>
        <fieldUsage x="2"/>
      </fieldsUsage>
    </cacheHierarchy>
    <cacheHierarchy uniqueName="[table1].[min_lumpsum]" caption="min_lumpsum" attribute="1" defaultMemberUniqueName="[table1].[min_lumpsum].[All]" allUniqueName="[table1].[min_lumpsum].[All]" dimensionUniqueName="[table1]" displayFolder="" count="0" memberValueDatatype="20" unbalanced="0"/>
    <cacheHierarchy uniqueName="[table1].[expense_ratio]" caption="expense_ratio" attribute="1" defaultMemberUniqueName="[table1].[expense_ratio].[All]" allUniqueName="[table1].[expense_ratio].[All]" dimensionUniqueName="[table1]" displayFolder="" count="0" memberValueDatatype="5" unbalanced="0"/>
    <cacheHierarchy uniqueName="[table1].[fund_size_cr]" caption="fund_size_cr" attribute="1" defaultMemberUniqueName="[table1].[fund_size_cr].[All]" allUniqueName="[table1].[fund_size_cr].[All]" dimensionUniqueName="[table1]" displayFolder="" count="0" memberValueDatatype="5" unbalanced="0"/>
    <cacheHierarchy uniqueName="[table1].[fund_age_yr]" caption="fund_age_yr" attribute="1" defaultMemberUniqueName="[table1].[fund_age_yr].[All]" allUniqueName="[table1].[fund_age_yr].[All]" dimensionUniqueName="[table1]" displayFolder="" count="2" memberValueDatatype="20" unbalanced="0"/>
    <cacheHierarchy uniqueName="[table1].[fund_manager]" caption="fund_manager" attribute="1" defaultMemberUniqueName="[table1].[fund_manager].[All]" allUniqueName="[table1].[fund_manager].[All]" dimensionUniqueName="[table1]" displayFolder="" count="0" memberValueDatatype="130" unbalanced="0"/>
    <cacheHierarchy uniqueName="[table1].[sortino]" caption="sortino" attribute="1" defaultMemberUniqueName="[table1].[sortino].[All]" allUniqueName="[table1].[sortino].[All]" dimensionUniqueName="[table1]" displayFolder="" count="0" memberValueDatatype="130" unbalanced="0"/>
    <cacheHierarchy uniqueName="[table1].[alpha]" caption="alpha" attribute="1" defaultMemberUniqueName="[table1].[alpha].[All]" allUniqueName="[table1].[alpha].[All]" dimensionUniqueName="[table1]" displayFolder="" count="2" memberValueDatatype="130" unbalanced="0"/>
    <cacheHierarchy uniqueName="[table1].[sd]" caption="sd" attribute="1" defaultMemberUniqueName="[table1].[sd].[All]" allUniqueName="[table1].[sd].[All]" dimensionUniqueName="[table1]" displayFolder="" count="2" memberValueDatatype="130" unbalanced="0"/>
    <cacheHierarchy uniqueName="[table1].[beta]" caption="beta" attribute="1" defaultMemberUniqueName="[table1].[beta].[All]" allUniqueName="[table1].[beta].[All]" dimensionUniqueName="[table1]" displayFolder="" count="2" memberValueDatatype="130" unbalanced="0"/>
    <cacheHierarchy uniqueName="[table1].[sharpe]" caption="sharpe" attribute="1" defaultMemberUniqueName="[table1].[sharpe].[All]" allUniqueName="[table1].[sharpe].[All]" dimensionUniqueName="[table1]" displayFolder="" count="2" memberValueDatatype="130" unbalanced="0"/>
    <cacheHierarchy uniqueName="[table1].[risk_level]" caption="risk_level" attribute="1" defaultMemberUniqueName="[table1].[risk_level].[All]" allUniqueName="[table1].[risk_level].[All]" dimensionUniqueName="[table1]" displayFolder="" count="0" memberValueDatatype="20" unbalanced="0"/>
    <cacheHierarchy uniqueName="[table1].[amc_name]" caption="amc_name" attribute="1" defaultMemberUniqueName="[table1].[amc_name].[All]" allUniqueName="[table1].[amc_name].[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_category]" caption="sub_category" attribute="1" defaultMemberUniqueName="[table1].[sub_category].[All]" allUniqueName="[table1].[sub_category].[All]" dimensionUniqueName="[table1]" displayFolder="" count="0" memberValueDatatype="130" unbalanced="0"/>
    <cacheHierarchy uniqueName="[table1].[returns_1yr]" caption="returns_1yr" attribute="1" defaultMemberUniqueName="[table1].[returns_1yr].[All]" allUniqueName="[table1].[returns_1yr].[All]" dimensionUniqueName="[table1]" displayFolder="" count="0" memberValueDatatype="5" unbalanced="0"/>
    <cacheHierarchy uniqueName="[table1].[returns_3yr]" caption="returns_3yr" attribute="1" defaultMemberUniqueName="[table1].[returns_3yr].[All]" allUniqueName="[table1].[returns_3yr].[All]" dimensionUniqueName="[table1]" displayFolder="" count="0" memberValueDatatype="5" unbalanced="0"/>
    <cacheHierarchy uniqueName="[table1].[returns_5yr]" caption="returns_5yr" attribute="1" defaultMemberUniqueName="[table1].[returns_5yr].[All]" allUniqueName="[table1].[returns_5yr].[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in_lumpsum]" caption="Sum of min_lumpsum" measure="1" displayFolder="" measureGroup="table1" count="0" hidden="1">
      <extLst>
        <ext xmlns:x15="http://schemas.microsoft.com/office/spreadsheetml/2010/11/main" uri="{B97F6D7D-B522-45F9-BDA1-12C45D357490}">
          <x15:cacheHierarchy aggregatedColumn="2"/>
        </ext>
      </extLst>
    </cacheHierarchy>
    <cacheHierarchy uniqueName="[Measures].[Sum of fund_age_yr]" caption="Sum of fund_age_yr" measure="1" displayFolder="" measureGroup="table1" count="0" hidden="1">
      <extLst>
        <ext xmlns:x15="http://schemas.microsoft.com/office/spreadsheetml/2010/11/main" uri="{B97F6D7D-B522-45F9-BDA1-12C45D357490}">
          <x15:cacheHierarchy aggregatedColumn="5"/>
        </ext>
      </extLst>
    </cacheHierarchy>
    <cacheHierarchy uniqueName="[Measures].[Average of fund_age_yr]" caption="Average of fund_age_yr" measure="1" displayFolder="" measureGroup="table1" count="0" hidden="1">
      <extLst>
        <ext xmlns:x15="http://schemas.microsoft.com/office/spreadsheetml/2010/11/main" uri="{B97F6D7D-B522-45F9-BDA1-12C45D357490}">
          <x15:cacheHierarchy aggregatedColumn="5"/>
        </ext>
      </extLst>
    </cacheHierarchy>
    <cacheHierarchy uniqueName="[Measures].[Count of fund_manager]" caption="Count of fund_manager" measure="1" displayFolder="" measureGroup="table1" count="0" hidden="1">
      <extLst>
        <ext xmlns:x15="http://schemas.microsoft.com/office/spreadsheetml/2010/11/main" uri="{B97F6D7D-B522-45F9-BDA1-12C45D357490}">
          <x15:cacheHierarchy aggregatedColumn="6"/>
        </ext>
      </extLst>
    </cacheHierarchy>
    <cacheHierarchy uniqueName="[Measures].[Sum of returns_1yr]" caption="Sum of returns_1yr" measure="1" displayFolder="" measureGroup="table1" count="0" hidden="1">
      <extLst>
        <ext xmlns:x15="http://schemas.microsoft.com/office/spreadsheetml/2010/11/main" uri="{B97F6D7D-B522-45F9-BDA1-12C45D357490}">
          <x15:cacheHierarchy aggregatedColumn="17"/>
        </ext>
      </extLst>
    </cacheHierarchy>
    <cacheHierarchy uniqueName="[Measures].[Sum of returns_3yr]" caption="Sum of returns_3yr" measure="1" displayFolder="" measureGroup="table1" count="0" hidden="1">
      <extLst>
        <ext xmlns:x15="http://schemas.microsoft.com/office/spreadsheetml/2010/11/main" uri="{B97F6D7D-B522-45F9-BDA1-12C45D357490}">
          <x15:cacheHierarchy aggregatedColumn="18"/>
        </ext>
      </extLst>
    </cacheHierarchy>
    <cacheHierarchy uniqueName="[Measures].[Sum of returns_5yr]" caption="Sum of returns_5yr" measure="1" displayFolder="" measureGroup="table1" count="0" hidden="1">
      <extLst>
        <ext xmlns:x15="http://schemas.microsoft.com/office/spreadsheetml/2010/11/main" uri="{B97F6D7D-B522-45F9-BDA1-12C45D357490}">
          <x15:cacheHierarchy aggregatedColumn="19"/>
        </ext>
      </extLst>
    </cacheHierarchy>
    <cacheHierarchy uniqueName="[Measures].[Average of returns_3yr]" caption="Average of returns_3yr" measure="1" displayFolder="" measureGroup="table1" count="0" hidden="1">
      <extLst>
        <ext xmlns:x15="http://schemas.microsoft.com/office/spreadsheetml/2010/11/main" uri="{B97F6D7D-B522-45F9-BDA1-12C45D357490}">
          <x15:cacheHierarchy aggregatedColumn="18"/>
        </ext>
      </extLst>
    </cacheHierarchy>
    <cacheHierarchy uniqueName="[Measures].[Count of scheme_name]" caption="Count of scheme_name" measure="1" displayFolder="" measureGroup="table1" count="0" hidden="1">
      <extLst>
        <ext xmlns:x15="http://schemas.microsoft.com/office/spreadsheetml/2010/11/main" uri="{B97F6D7D-B522-45F9-BDA1-12C45D357490}">
          <x15:cacheHierarchy aggregatedColumn="0"/>
        </ext>
      </extLst>
    </cacheHierarchy>
    <cacheHierarchy uniqueName="[Measures].[Sum of expense_ratio]" caption="Sum of expense_ratio" measure="1" displayFolder="" measureGroup="table1" count="0" hidden="1">
      <extLst>
        <ext xmlns:x15="http://schemas.microsoft.com/office/spreadsheetml/2010/11/main" uri="{B97F6D7D-B522-45F9-BDA1-12C45D357490}">
          <x15:cacheHierarchy aggregatedColumn="3"/>
        </ext>
      </extLst>
    </cacheHierarchy>
    <cacheHierarchy uniqueName="[Measures].[Sum of risk_level]" caption="Sum of risk_level"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min_lumpsum]" caption="Average of min_lumpsum" measure="1" displayFolder="" measureGroup="table1" count="0" hidden="1">
      <extLst>
        <ext xmlns:x15="http://schemas.microsoft.com/office/spreadsheetml/2010/11/main" uri="{B97F6D7D-B522-45F9-BDA1-12C45D357490}">
          <x15:cacheHierarchy aggregatedColumn="2"/>
        </ext>
      </extLst>
    </cacheHierarchy>
    <cacheHierarchy uniqueName="[Measures].[Average of risk_level]" caption="Average of risk_level" measure="1" displayFolder="" measureGroup="table1" count="0" hidden="1">
      <extLst>
        <ext xmlns:x15="http://schemas.microsoft.com/office/spreadsheetml/2010/11/main" uri="{B97F6D7D-B522-45F9-BDA1-12C45D357490}">
          <x15:cacheHierarchy aggregatedColumn="12"/>
        </ext>
      </extLst>
    </cacheHierarchy>
    <cacheHierarchy uniqueName="[Measures].[Average of expense_ratio]" caption="Average of expense_ratio" measure="1" displayFolder="" measureGroup="table1"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intel" refreshedDate="45879.822491782405" backgroundQuery="1" createdVersion="7" refreshedVersion="6" minRefreshableVersion="3" recordCount="0" supportSubquery="1" supportAdvancedDrill="1">
  <cacheSource type="external" connectionId="1"/>
  <cacheFields count="5">
    <cacheField name="[table1].[amc_name].[amc_name]" caption="amc_name" numFmtId="0" hierarchy="13" level="1">
      <sharedItems count="10">
        <s v="Franklin Templeton Mutual Fund"/>
        <s v="HDFC Mutual Fund"/>
        <s v="HSBC Mutual Fund"/>
        <s v="IDBI Mutual Fund"/>
        <s v="Kotak Mahindra Mutual Fund"/>
        <s v="Quant Mutual Fund"/>
        <s v="SBI Mutual Fund"/>
        <s v="Sundaram Mutual Fund"/>
        <s v="Tata Mutual Fund"/>
        <s v="UTI Mutual Fund"/>
      </sharedItems>
    </cacheField>
    <cacheField name="[Measures].[Sum of returns_1yr]" caption="Sum of returns_1yr" numFmtId="0" hierarchy="26" level="32767"/>
    <cacheField name="[Measures].[Sum of returns_3yr]" caption="Sum of returns_3yr" numFmtId="0" hierarchy="27" level="32767"/>
    <cacheField name="[Measures].[Sum of returns_5yr]" caption="Sum of returns_5yr" numFmtId="0" hierarchy="28" level="32767"/>
    <cacheField name="[table1].[min_sip].[min_sip]" caption="min_sip" numFmtId="0" hierarchy="1" level="1">
      <sharedItems containsSemiMixedTypes="0" containsNonDate="0" containsString="0"/>
    </cacheField>
  </cacheFields>
  <cacheHierarchies count="37">
    <cacheHierarchy uniqueName="[table1].[scheme_name]" caption="scheme_name" attribute="1" defaultMemberUniqueName="[table1].[scheme_name].[All]" allUniqueName="[table1].[scheme_name].[All]" dimensionUniqueName="[table1]" displayFolder="" count="2" memberValueDatatype="130" unbalanced="0"/>
    <cacheHierarchy uniqueName="[table1].[min_sip]" caption="min_sip" attribute="1" defaultMemberUniqueName="[table1].[min_sip].[All]" allUniqueName="[table1].[min_sip].[All]" dimensionUniqueName="[table1]" displayFolder="" count="2" memberValueDatatype="20" unbalanced="0">
      <fieldsUsage count="2">
        <fieldUsage x="-1"/>
        <fieldUsage x="4"/>
      </fieldsUsage>
    </cacheHierarchy>
    <cacheHierarchy uniqueName="[table1].[min_lumpsum]" caption="min_lumpsum" attribute="1" defaultMemberUniqueName="[table1].[min_lumpsum].[All]" allUniqueName="[table1].[min_lumpsum].[All]" dimensionUniqueName="[table1]" displayFolder="" count="0" memberValueDatatype="20" unbalanced="0"/>
    <cacheHierarchy uniqueName="[table1].[expense_ratio]" caption="expense_ratio" attribute="1" defaultMemberUniqueName="[table1].[expense_ratio].[All]" allUniqueName="[table1].[expense_ratio].[All]" dimensionUniqueName="[table1]" displayFolder="" count="0" memberValueDatatype="5" unbalanced="0"/>
    <cacheHierarchy uniqueName="[table1].[fund_size_cr]" caption="fund_size_cr" attribute="1" defaultMemberUniqueName="[table1].[fund_size_cr].[All]" allUniqueName="[table1].[fund_size_cr].[All]" dimensionUniqueName="[table1]" displayFolder="" count="0" memberValueDatatype="5" unbalanced="0"/>
    <cacheHierarchy uniqueName="[table1].[fund_age_yr]" caption="fund_age_yr" attribute="1" defaultMemberUniqueName="[table1].[fund_age_yr].[All]" allUniqueName="[table1].[fund_age_yr].[All]" dimensionUniqueName="[table1]" displayFolder="" count="2" memberValueDatatype="20" unbalanced="0"/>
    <cacheHierarchy uniqueName="[table1].[fund_manager]" caption="fund_manager" attribute="1" defaultMemberUniqueName="[table1].[fund_manager].[All]" allUniqueName="[table1].[fund_manager].[All]" dimensionUniqueName="[table1]" displayFolder="" count="0" memberValueDatatype="130" unbalanced="0"/>
    <cacheHierarchy uniqueName="[table1].[sortino]" caption="sortino" attribute="1" defaultMemberUniqueName="[table1].[sortino].[All]" allUniqueName="[table1].[sortino].[All]" dimensionUniqueName="[table1]" displayFolder="" count="0" memberValueDatatype="130" unbalanced="0"/>
    <cacheHierarchy uniqueName="[table1].[alpha]" caption="alpha" attribute="1" defaultMemberUniqueName="[table1].[alpha].[All]" allUniqueName="[table1].[alpha].[All]" dimensionUniqueName="[table1]" displayFolder="" count="0" memberValueDatatype="130" unbalanced="0"/>
    <cacheHierarchy uniqueName="[table1].[sd]" caption="sd" attribute="1" defaultMemberUniqueName="[table1].[sd].[All]" allUniqueName="[table1].[sd].[All]" dimensionUniqueName="[table1]" displayFolder="" count="0" memberValueDatatype="130" unbalanced="0"/>
    <cacheHierarchy uniqueName="[table1].[beta]" caption="beta" attribute="1" defaultMemberUniqueName="[table1].[beta].[All]" allUniqueName="[table1].[beta].[All]" dimensionUniqueName="[table1]" displayFolder="" count="0" memberValueDatatype="130" unbalanced="0"/>
    <cacheHierarchy uniqueName="[table1].[sharpe]" caption="sharpe" attribute="1" defaultMemberUniqueName="[table1].[sharpe].[All]" allUniqueName="[table1].[sharpe].[All]" dimensionUniqueName="[table1]" displayFolder="" count="0" memberValueDatatype="130" unbalanced="0"/>
    <cacheHierarchy uniqueName="[table1].[risk_level]" caption="risk_level" attribute="1" defaultMemberUniqueName="[table1].[risk_level].[All]" allUniqueName="[table1].[risk_level].[All]" dimensionUniqueName="[table1]" displayFolder="" count="0" memberValueDatatype="20" unbalanced="0"/>
    <cacheHierarchy uniqueName="[table1].[amc_name]" caption="amc_name" attribute="1" defaultMemberUniqueName="[table1].[amc_name].[All]" allUniqueName="[table1].[amc_name].[All]" dimensionUniqueName="[table1]" displayFolder="" count="2" memberValueDatatype="130" unbalanced="0">
      <fieldsUsage count="2">
        <fieldUsage x="-1"/>
        <fieldUsage x="0"/>
      </fieldsUsage>
    </cacheHierarchy>
    <cacheHierarchy uniqueName="[table1].[rating]" caption="rating" attribute="1" defaultMemberUniqueName="[table1].[rating].[All]" allUniqueName="[table1].[rating].[All]" dimensionUniqueName="[table1]" displayFolder="" count="0" memberValueDatatype="20" unbalanced="0"/>
    <cacheHierarchy uniqueName="[table1].[category]" caption="category" attribute="1" defaultMemberUniqueName="[table1].[category].[All]" allUniqueName="[table1].[category].[All]" dimensionUniqueName="[table1]" displayFolder="" count="2" memberValueDatatype="130" unbalanced="0"/>
    <cacheHierarchy uniqueName="[table1].[sub_category]" caption="sub_category" attribute="1" defaultMemberUniqueName="[table1].[sub_category].[All]" allUniqueName="[table1].[sub_category].[All]" dimensionUniqueName="[table1]" displayFolder="" count="0" memberValueDatatype="130" unbalanced="0"/>
    <cacheHierarchy uniqueName="[table1].[returns_1yr]" caption="returns_1yr" attribute="1" defaultMemberUniqueName="[table1].[returns_1yr].[All]" allUniqueName="[table1].[returns_1yr].[All]" dimensionUniqueName="[table1]" displayFolder="" count="0" memberValueDatatype="5" unbalanced="0"/>
    <cacheHierarchy uniqueName="[table1].[returns_3yr]" caption="returns_3yr" attribute="1" defaultMemberUniqueName="[table1].[returns_3yr].[All]" allUniqueName="[table1].[returns_3yr].[All]" dimensionUniqueName="[table1]" displayFolder="" count="0" memberValueDatatype="5" unbalanced="0"/>
    <cacheHierarchy uniqueName="[table1].[returns_5yr]" caption="returns_5yr" attribute="1" defaultMemberUniqueName="[table1].[returns_5yr].[All]" allUniqueName="[table1].[returns_5yr].[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in_lumpsum]" caption="Sum of min_lumpsum" measure="1" displayFolder="" measureGroup="table1" count="0" hidden="1">
      <extLst>
        <ext xmlns:x15="http://schemas.microsoft.com/office/spreadsheetml/2010/11/main" uri="{B97F6D7D-B522-45F9-BDA1-12C45D357490}">
          <x15:cacheHierarchy aggregatedColumn="2"/>
        </ext>
      </extLst>
    </cacheHierarchy>
    <cacheHierarchy uniqueName="[Measures].[Sum of fund_age_yr]" caption="Sum of fund_age_yr" measure="1" displayFolder="" measureGroup="table1" count="0" hidden="1">
      <extLst>
        <ext xmlns:x15="http://schemas.microsoft.com/office/spreadsheetml/2010/11/main" uri="{B97F6D7D-B522-45F9-BDA1-12C45D357490}">
          <x15:cacheHierarchy aggregatedColumn="5"/>
        </ext>
      </extLst>
    </cacheHierarchy>
    <cacheHierarchy uniqueName="[Measures].[Average of fund_age_yr]" caption="Average of fund_age_yr" measure="1" displayFolder="" measureGroup="table1" count="0" hidden="1">
      <extLst>
        <ext xmlns:x15="http://schemas.microsoft.com/office/spreadsheetml/2010/11/main" uri="{B97F6D7D-B522-45F9-BDA1-12C45D357490}">
          <x15:cacheHierarchy aggregatedColumn="5"/>
        </ext>
      </extLst>
    </cacheHierarchy>
    <cacheHierarchy uniqueName="[Measures].[Count of fund_manager]" caption="Count of fund_manager" measure="1" displayFolder="" measureGroup="table1" count="0" hidden="1">
      <extLst>
        <ext xmlns:x15="http://schemas.microsoft.com/office/spreadsheetml/2010/11/main" uri="{B97F6D7D-B522-45F9-BDA1-12C45D357490}">
          <x15:cacheHierarchy aggregatedColumn="6"/>
        </ext>
      </extLst>
    </cacheHierarchy>
    <cacheHierarchy uniqueName="[Measures].[Sum of returns_1yr]" caption="Sum of returns_1yr"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returns_3yr]" caption="Sum of returns_3yr" measure="1" displayFolder="" measureGroup="table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returns_5yr]" caption="Sum of returns_5yr" measure="1" displayFolder="" measureGroup="table1" count="0" oneField="1" hidden="1">
      <fieldsUsage count="1">
        <fieldUsage x="3"/>
      </fieldsUsage>
      <extLst>
        <ext xmlns:x15="http://schemas.microsoft.com/office/spreadsheetml/2010/11/main" uri="{B97F6D7D-B522-45F9-BDA1-12C45D357490}">
          <x15:cacheHierarchy aggregatedColumn="19"/>
        </ext>
      </extLst>
    </cacheHierarchy>
    <cacheHierarchy uniqueName="[Measures].[Average of returns_3yr]" caption="Average of returns_3yr" measure="1" displayFolder="" measureGroup="table1" count="0" hidden="1">
      <extLst>
        <ext xmlns:x15="http://schemas.microsoft.com/office/spreadsheetml/2010/11/main" uri="{B97F6D7D-B522-45F9-BDA1-12C45D357490}">
          <x15:cacheHierarchy aggregatedColumn="18"/>
        </ext>
      </extLst>
    </cacheHierarchy>
    <cacheHierarchy uniqueName="[Measures].[Count of scheme_name]" caption="Count of scheme_name" measure="1" displayFolder="" measureGroup="table1" count="0" hidden="1">
      <extLst>
        <ext xmlns:x15="http://schemas.microsoft.com/office/spreadsheetml/2010/11/main" uri="{B97F6D7D-B522-45F9-BDA1-12C45D357490}">
          <x15:cacheHierarchy aggregatedColumn="0"/>
        </ext>
      </extLst>
    </cacheHierarchy>
    <cacheHierarchy uniqueName="[Measures].[Sum of expense_ratio]" caption="Sum of expense_ratio" measure="1" displayFolder="" measureGroup="table1" count="0" hidden="1">
      <extLst>
        <ext xmlns:x15="http://schemas.microsoft.com/office/spreadsheetml/2010/11/main" uri="{B97F6D7D-B522-45F9-BDA1-12C45D357490}">
          <x15:cacheHierarchy aggregatedColumn="3"/>
        </ext>
      </extLst>
    </cacheHierarchy>
    <cacheHierarchy uniqueName="[Measures].[Sum of risk_level]" caption="Sum of risk_level" measure="1" displayFolder="" measureGroup="table1" count="0" hidden="1">
      <extLst>
        <ext xmlns:x15="http://schemas.microsoft.com/office/spreadsheetml/2010/11/main" uri="{B97F6D7D-B522-45F9-BDA1-12C45D357490}">
          <x15:cacheHierarchy aggregatedColumn="12"/>
        </ext>
      </extLst>
    </cacheHierarchy>
    <cacheHierarchy uniqueName="[Measures].[Average of min_lumpsum]" caption="Average of min_lumpsum" measure="1" displayFolder="" measureGroup="table1" count="0" hidden="1">
      <extLst>
        <ext xmlns:x15="http://schemas.microsoft.com/office/spreadsheetml/2010/11/main" uri="{B97F6D7D-B522-45F9-BDA1-12C45D357490}">
          <x15:cacheHierarchy aggregatedColumn="2"/>
        </ext>
      </extLst>
    </cacheHierarchy>
    <cacheHierarchy uniqueName="[Measures].[Average of risk_level]" caption="Average of risk_level" measure="1" displayFolder="" measureGroup="table1" count="0" hidden="1">
      <extLst>
        <ext xmlns:x15="http://schemas.microsoft.com/office/spreadsheetml/2010/11/main" uri="{B97F6D7D-B522-45F9-BDA1-12C45D357490}">
          <x15:cacheHierarchy aggregatedColumn="12"/>
        </ext>
      </extLst>
    </cacheHierarchy>
    <cacheHierarchy uniqueName="[Measures].[Average of expense_ratio]" caption="Average of expense_ratio" measure="1" displayFolder="" measureGroup="table1"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intel" refreshedDate="45879.822492129628" backgroundQuery="1" createdVersion="7" refreshedVersion="6" minRefreshableVersion="3" recordCount="0" supportSubquery="1" supportAdvancedDrill="1">
  <cacheSource type="external" connectionId="1"/>
  <cacheFields count="3">
    <cacheField name="[table1].[category].[category]" caption="category" numFmtId="0" hierarchy="15" level="1">
      <sharedItems count="5">
        <s v="Debt"/>
        <s v="Equity"/>
        <s v="Hybrid"/>
        <s v="Other"/>
        <s v="Solution Oriented"/>
      </sharedItems>
    </cacheField>
    <cacheField name="[Measures].[Count of category]" caption="Count of category" numFmtId="0" hierarchy="36" level="32767"/>
    <cacheField name="[table1].[min_sip].[min_sip]" caption="min_sip" numFmtId="0" hierarchy="1" level="1">
      <sharedItems containsSemiMixedTypes="0" containsNonDate="0" containsString="0"/>
    </cacheField>
  </cacheFields>
  <cacheHierarchies count="37">
    <cacheHierarchy uniqueName="[table1].[scheme_name]" caption="scheme_name" attribute="1" defaultMemberUniqueName="[table1].[scheme_name].[All]" allUniqueName="[table1].[scheme_name].[All]" dimensionUniqueName="[table1]" displayFolder="" count="2" memberValueDatatype="130" unbalanced="0"/>
    <cacheHierarchy uniqueName="[table1].[min_sip]" caption="min_sip" attribute="1" defaultMemberUniqueName="[table1].[min_sip].[All]" allUniqueName="[table1].[min_sip].[All]" dimensionUniqueName="[table1]" displayFolder="" count="2" memberValueDatatype="20" unbalanced="0">
      <fieldsUsage count="2">
        <fieldUsage x="-1"/>
        <fieldUsage x="2"/>
      </fieldsUsage>
    </cacheHierarchy>
    <cacheHierarchy uniqueName="[table1].[min_lumpsum]" caption="min_lumpsum" attribute="1" defaultMemberUniqueName="[table1].[min_lumpsum].[All]" allUniqueName="[table1].[min_lumpsum].[All]" dimensionUniqueName="[table1]" displayFolder="" count="0" memberValueDatatype="20" unbalanced="0"/>
    <cacheHierarchy uniqueName="[table1].[expense_ratio]" caption="expense_ratio" attribute="1" defaultMemberUniqueName="[table1].[expense_ratio].[All]" allUniqueName="[table1].[expense_ratio].[All]" dimensionUniqueName="[table1]" displayFolder="" count="0" memberValueDatatype="5" unbalanced="0"/>
    <cacheHierarchy uniqueName="[table1].[fund_size_cr]" caption="fund_size_cr" attribute="1" defaultMemberUniqueName="[table1].[fund_size_cr].[All]" allUniqueName="[table1].[fund_size_cr].[All]" dimensionUniqueName="[table1]" displayFolder="" count="0" memberValueDatatype="5" unbalanced="0"/>
    <cacheHierarchy uniqueName="[table1].[fund_age_yr]" caption="fund_age_yr" attribute="1" defaultMemberUniqueName="[table1].[fund_age_yr].[All]" allUniqueName="[table1].[fund_age_yr].[All]" dimensionUniqueName="[table1]" displayFolder="" count="2" memberValueDatatype="20" unbalanced="0"/>
    <cacheHierarchy uniqueName="[table1].[fund_manager]" caption="fund_manager" attribute="1" defaultMemberUniqueName="[table1].[fund_manager].[All]" allUniqueName="[table1].[fund_manager].[All]" dimensionUniqueName="[table1]" displayFolder="" count="0" memberValueDatatype="130" unbalanced="0"/>
    <cacheHierarchy uniqueName="[table1].[sortino]" caption="sortino" attribute="1" defaultMemberUniqueName="[table1].[sortino].[All]" allUniqueName="[table1].[sortino].[All]" dimensionUniqueName="[table1]" displayFolder="" count="0" memberValueDatatype="130" unbalanced="0"/>
    <cacheHierarchy uniqueName="[table1].[alpha]" caption="alpha" attribute="1" defaultMemberUniqueName="[table1].[alpha].[All]" allUniqueName="[table1].[alpha].[All]" dimensionUniqueName="[table1]" displayFolder="" count="0" memberValueDatatype="130" unbalanced="0"/>
    <cacheHierarchy uniqueName="[table1].[sd]" caption="sd" attribute="1" defaultMemberUniqueName="[table1].[sd].[All]" allUniqueName="[table1].[sd].[All]" dimensionUniqueName="[table1]" displayFolder="" count="0" memberValueDatatype="130" unbalanced="0"/>
    <cacheHierarchy uniqueName="[table1].[beta]" caption="beta" attribute="1" defaultMemberUniqueName="[table1].[beta].[All]" allUniqueName="[table1].[beta].[All]" dimensionUniqueName="[table1]" displayFolder="" count="0" memberValueDatatype="130" unbalanced="0"/>
    <cacheHierarchy uniqueName="[table1].[sharpe]" caption="sharpe" attribute="1" defaultMemberUniqueName="[table1].[sharpe].[All]" allUniqueName="[table1].[sharpe].[All]" dimensionUniqueName="[table1]" displayFolder="" count="0" memberValueDatatype="130" unbalanced="0"/>
    <cacheHierarchy uniqueName="[table1].[risk_level]" caption="risk_level" attribute="1" defaultMemberUniqueName="[table1].[risk_level].[All]" allUniqueName="[table1].[risk_level].[All]" dimensionUniqueName="[table1]" displayFolder="" count="0" memberValueDatatype="20" unbalanced="0"/>
    <cacheHierarchy uniqueName="[table1].[amc_name]" caption="amc_name" attribute="1" defaultMemberUniqueName="[table1].[amc_name].[All]" allUniqueName="[table1].[amc_name].[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_category]" caption="sub_category" attribute="1" defaultMemberUniqueName="[table1].[sub_category].[All]" allUniqueName="[table1].[sub_category].[All]" dimensionUniqueName="[table1]" displayFolder="" count="0" memberValueDatatype="130" unbalanced="0"/>
    <cacheHierarchy uniqueName="[table1].[returns_1yr]" caption="returns_1yr" attribute="1" defaultMemberUniqueName="[table1].[returns_1yr].[All]" allUniqueName="[table1].[returns_1yr].[All]" dimensionUniqueName="[table1]" displayFolder="" count="0" memberValueDatatype="5" unbalanced="0"/>
    <cacheHierarchy uniqueName="[table1].[returns_3yr]" caption="returns_3yr" attribute="1" defaultMemberUniqueName="[table1].[returns_3yr].[All]" allUniqueName="[table1].[returns_3yr].[All]" dimensionUniqueName="[table1]" displayFolder="" count="0" memberValueDatatype="5" unbalanced="0"/>
    <cacheHierarchy uniqueName="[table1].[returns_5yr]" caption="returns_5yr" attribute="1" defaultMemberUniqueName="[table1].[returns_5yr].[All]" allUniqueName="[table1].[returns_5yr].[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in_lumpsum]" caption="Sum of min_lumpsum" measure="1" displayFolder="" measureGroup="table1" count="0" hidden="1">
      <extLst>
        <ext xmlns:x15="http://schemas.microsoft.com/office/spreadsheetml/2010/11/main" uri="{B97F6D7D-B522-45F9-BDA1-12C45D357490}">
          <x15:cacheHierarchy aggregatedColumn="2"/>
        </ext>
      </extLst>
    </cacheHierarchy>
    <cacheHierarchy uniqueName="[Measures].[Sum of fund_age_yr]" caption="Sum of fund_age_yr" measure="1" displayFolder="" measureGroup="table1" count="0" hidden="1">
      <extLst>
        <ext xmlns:x15="http://schemas.microsoft.com/office/spreadsheetml/2010/11/main" uri="{B97F6D7D-B522-45F9-BDA1-12C45D357490}">
          <x15:cacheHierarchy aggregatedColumn="5"/>
        </ext>
      </extLst>
    </cacheHierarchy>
    <cacheHierarchy uniqueName="[Measures].[Average of fund_age_yr]" caption="Average of fund_age_yr" measure="1" displayFolder="" measureGroup="table1" count="0" hidden="1">
      <extLst>
        <ext xmlns:x15="http://schemas.microsoft.com/office/spreadsheetml/2010/11/main" uri="{B97F6D7D-B522-45F9-BDA1-12C45D357490}">
          <x15:cacheHierarchy aggregatedColumn="5"/>
        </ext>
      </extLst>
    </cacheHierarchy>
    <cacheHierarchy uniqueName="[Measures].[Count of fund_manager]" caption="Count of fund_manager" measure="1" displayFolder="" measureGroup="table1" count="0" hidden="1">
      <extLst>
        <ext xmlns:x15="http://schemas.microsoft.com/office/spreadsheetml/2010/11/main" uri="{B97F6D7D-B522-45F9-BDA1-12C45D357490}">
          <x15:cacheHierarchy aggregatedColumn="6"/>
        </ext>
      </extLst>
    </cacheHierarchy>
    <cacheHierarchy uniqueName="[Measures].[Sum of returns_1yr]" caption="Sum of returns_1yr" measure="1" displayFolder="" measureGroup="table1" count="0" hidden="1">
      <extLst>
        <ext xmlns:x15="http://schemas.microsoft.com/office/spreadsheetml/2010/11/main" uri="{B97F6D7D-B522-45F9-BDA1-12C45D357490}">
          <x15:cacheHierarchy aggregatedColumn="17"/>
        </ext>
      </extLst>
    </cacheHierarchy>
    <cacheHierarchy uniqueName="[Measures].[Sum of returns_3yr]" caption="Sum of returns_3yr" measure="1" displayFolder="" measureGroup="table1" count="0" hidden="1">
      <extLst>
        <ext xmlns:x15="http://schemas.microsoft.com/office/spreadsheetml/2010/11/main" uri="{B97F6D7D-B522-45F9-BDA1-12C45D357490}">
          <x15:cacheHierarchy aggregatedColumn="18"/>
        </ext>
      </extLst>
    </cacheHierarchy>
    <cacheHierarchy uniqueName="[Measures].[Sum of returns_5yr]" caption="Sum of returns_5yr" measure="1" displayFolder="" measureGroup="table1" count="0" hidden="1">
      <extLst>
        <ext xmlns:x15="http://schemas.microsoft.com/office/spreadsheetml/2010/11/main" uri="{B97F6D7D-B522-45F9-BDA1-12C45D357490}">
          <x15:cacheHierarchy aggregatedColumn="19"/>
        </ext>
      </extLst>
    </cacheHierarchy>
    <cacheHierarchy uniqueName="[Measures].[Average of returns_3yr]" caption="Average of returns_3yr" measure="1" displayFolder="" measureGroup="table1" count="0" hidden="1">
      <extLst>
        <ext xmlns:x15="http://schemas.microsoft.com/office/spreadsheetml/2010/11/main" uri="{B97F6D7D-B522-45F9-BDA1-12C45D357490}">
          <x15:cacheHierarchy aggregatedColumn="18"/>
        </ext>
      </extLst>
    </cacheHierarchy>
    <cacheHierarchy uniqueName="[Measures].[Count of scheme_name]" caption="Count of scheme_name" measure="1" displayFolder="" measureGroup="table1" count="0" hidden="1">
      <extLst>
        <ext xmlns:x15="http://schemas.microsoft.com/office/spreadsheetml/2010/11/main" uri="{B97F6D7D-B522-45F9-BDA1-12C45D357490}">
          <x15:cacheHierarchy aggregatedColumn="0"/>
        </ext>
      </extLst>
    </cacheHierarchy>
    <cacheHierarchy uniqueName="[Measures].[Sum of expense_ratio]" caption="Sum of expense_ratio" measure="1" displayFolder="" measureGroup="table1" count="0" hidden="1">
      <extLst>
        <ext xmlns:x15="http://schemas.microsoft.com/office/spreadsheetml/2010/11/main" uri="{B97F6D7D-B522-45F9-BDA1-12C45D357490}">
          <x15:cacheHierarchy aggregatedColumn="3"/>
        </ext>
      </extLst>
    </cacheHierarchy>
    <cacheHierarchy uniqueName="[Measures].[Sum of risk_level]" caption="Sum of risk_level" measure="1" displayFolder="" measureGroup="table1" count="0" hidden="1">
      <extLst>
        <ext xmlns:x15="http://schemas.microsoft.com/office/spreadsheetml/2010/11/main" uri="{B97F6D7D-B522-45F9-BDA1-12C45D357490}">
          <x15:cacheHierarchy aggregatedColumn="12"/>
        </ext>
      </extLst>
    </cacheHierarchy>
    <cacheHierarchy uniqueName="[Measures].[Average of min_lumpsum]" caption="Average of min_lumpsum" measure="1" displayFolder="" measureGroup="table1" count="0" hidden="1">
      <extLst>
        <ext xmlns:x15="http://schemas.microsoft.com/office/spreadsheetml/2010/11/main" uri="{B97F6D7D-B522-45F9-BDA1-12C45D357490}">
          <x15:cacheHierarchy aggregatedColumn="2"/>
        </ext>
      </extLst>
    </cacheHierarchy>
    <cacheHierarchy uniqueName="[Measures].[Average of risk_level]" caption="Average of risk_level" measure="1" displayFolder="" measureGroup="table1" count="0" hidden="1">
      <extLst>
        <ext xmlns:x15="http://schemas.microsoft.com/office/spreadsheetml/2010/11/main" uri="{B97F6D7D-B522-45F9-BDA1-12C45D357490}">
          <x15:cacheHierarchy aggregatedColumn="12"/>
        </ext>
      </extLst>
    </cacheHierarchy>
    <cacheHierarchy uniqueName="[Measures].[Average of expense_ratio]" caption="Average of expense_ratio" measure="1" displayFolder="" measureGroup="table1"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intel" refreshedDate="45876.344535995369"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table1].[scheme_name]" caption="scheme_name" attribute="1" defaultMemberUniqueName="[table1].[scheme_name].[All]" allUniqueName="[table1].[scheme_name].[All]" dimensionUniqueName="[table1]" displayFolder="" count="2" memberValueDatatype="130" unbalanced="0"/>
    <cacheHierarchy uniqueName="[table1].[min_sip]" caption="min_sip" attribute="1" defaultMemberUniqueName="[table1].[min_sip].[All]" allUniqueName="[table1].[min_sip].[All]" dimensionUniqueName="[table1]" displayFolder="" count="2" memberValueDatatype="20" unbalanced="0"/>
    <cacheHierarchy uniqueName="[table1].[min_lumpsum]" caption="min_lumpsum" attribute="1" defaultMemberUniqueName="[table1].[min_lumpsum].[All]" allUniqueName="[table1].[min_lumpsum].[All]" dimensionUniqueName="[table1]" displayFolder="" count="0" memberValueDatatype="20" unbalanced="0"/>
    <cacheHierarchy uniqueName="[table1].[expense_ratio]" caption="expense_ratio" attribute="1" defaultMemberUniqueName="[table1].[expense_ratio].[All]" allUniqueName="[table1].[expense_ratio].[All]" dimensionUniqueName="[table1]" displayFolder="" count="0" memberValueDatatype="5" unbalanced="0"/>
    <cacheHierarchy uniqueName="[table1].[fund_size_cr]" caption="fund_size_cr" attribute="1" defaultMemberUniqueName="[table1].[fund_size_cr].[All]" allUniqueName="[table1].[fund_size_cr].[All]" dimensionUniqueName="[table1]" displayFolder="" count="0" memberValueDatatype="5" unbalanced="0"/>
    <cacheHierarchy uniqueName="[table1].[fund_age_yr]" caption="fund_age_yr" attribute="1" defaultMemberUniqueName="[table1].[fund_age_yr].[All]" allUniqueName="[table1].[fund_age_yr].[All]" dimensionUniqueName="[table1]" displayFolder="" count="2" memberValueDatatype="20" unbalanced="0"/>
    <cacheHierarchy uniqueName="[table1].[fund_manager]" caption="fund_manager" attribute="1" defaultMemberUniqueName="[table1].[fund_manager].[All]" allUniqueName="[table1].[fund_manager].[All]" dimensionUniqueName="[table1]" displayFolder="" count="0" memberValueDatatype="130" unbalanced="0"/>
    <cacheHierarchy uniqueName="[table1].[sortino]" caption="sortino" attribute="1" defaultMemberUniqueName="[table1].[sortino].[All]" allUniqueName="[table1].[sortino].[All]" dimensionUniqueName="[table1]" displayFolder="" count="0" memberValueDatatype="130" unbalanced="0"/>
    <cacheHierarchy uniqueName="[table1].[alpha]" caption="alpha" attribute="1" defaultMemberUniqueName="[table1].[alpha].[All]" allUniqueName="[table1].[alpha].[All]" dimensionUniqueName="[table1]" displayFolder="" count="0" memberValueDatatype="130" unbalanced="0"/>
    <cacheHierarchy uniqueName="[table1].[sd]" caption="sd" attribute="1" defaultMemberUniqueName="[table1].[sd].[All]" allUniqueName="[table1].[sd].[All]" dimensionUniqueName="[table1]" displayFolder="" count="0" memberValueDatatype="130" unbalanced="0"/>
    <cacheHierarchy uniqueName="[table1].[beta]" caption="beta" attribute="1" defaultMemberUniqueName="[table1].[beta].[All]" allUniqueName="[table1].[beta].[All]" dimensionUniqueName="[table1]" displayFolder="" count="0" memberValueDatatype="130" unbalanced="0"/>
    <cacheHierarchy uniqueName="[table1].[sharpe]" caption="sharpe" attribute="1" defaultMemberUniqueName="[table1].[sharpe].[All]" allUniqueName="[table1].[sharpe].[All]" dimensionUniqueName="[table1]" displayFolder="" count="0" memberValueDatatype="130" unbalanced="0"/>
    <cacheHierarchy uniqueName="[table1].[risk_level]" caption="risk_level" attribute="1" defaultMemberUniqueName="[table1].[risk_level].[All]" allUniqueName="[table1].[risk_level].[All]" dimensionUniqueName="[table1]" displayFolder="" count="0" memberValueDatatype="20" unbalanced="0"/>
    <cacheHierarchy uniqueName="[table1].[amc_name]" caption="amc_name" attribute="1" defaultMemberUniqueName="[table1].[amc_name].[All]" allUniqueName="[table1].[amc_name].[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category]" caption="category" attribute="1" defaultMemberUniqueName="[table1].[category].[All]" allUniqueName="[table1].[category].[All]" dimensionUniqueName="[table1]" displayFolder="" count="2" memberValueDatatype="130" unbalanced="0"/>
    <cacheHierarchy uniqueName="[table1].[sub_category]" caption="sub_category" attribute="1" defaultMemberUniqueName="[table1].[sub_category].[All]" allUniqueName="[table1].[sub_category].[All]" dimensionUniqueName="[table1]" displayFolder="" count="0" memberValueDatatype="130" unbalanced="0"/>
    <cacheHierarchy uniqueName="[table1].[returns_1yr]" caption="returns_1yr" attribute="1" defaultMemberUniqueName="[table1].[returns_1yr].[All]" allUniqueName="[table1].[returns_1yr].[All]" dimensionUniqueName="[table1]" displayFolder="" count="0" memberValueDatatype="5" unbalanced="0"/>
    <cacheHierarchy uniqueName="[table1].[returns_3yr]" caption="returns_3yr" attribute="1" defaultMemberUniqueName="[table1].[returns_3yr].[All]" allUniqueName="[table1].[returns_3yr].[All]" dimensionUniqueName="[table1]" displayFolder="" count="0" memberValueDatatype="5" unbalanced="0"/>
    <cacheHierarchy uniqueName="[table1].[returns_5yr]" caption="returns_5yr" attribute="1" defaultMemberUniqueName="[table1].[returns_5yr].[All]" allUniqueName="[table1].[returns_5yr].[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in_lumpsum]" caption="Sum of min_lumpsum" measure="1" displayFolder="" measureGroup="table1" count="0" hidden="1">
      <extLst>
        <ext xmlns:x15="http://schemas.microsoft.com/office/spreadsheetml/2010/11/main" uri="{B97F6D7D-B522-45F9-BDA1-12C45D357490}">
          <x15:cacheHierarchy aggregatedColumn="2"/>
        </ext>
      </extLst>
    </cacheHierarchy>
    <cacheHierarchy uniqueName="[Measures].[Sum of fund_age_yr]" caption="Sum of fund_age_yr" measure="1" displayFolder="" measureGroup="table1" count="0" hidden="1">
      <extLst>
        <ext xmlns:x15="http://schemas.microsoft.com/office/spreadsheetml/2010/11/main" uri="{B97F6D7D-B522-45F9-BDA1-12C45D357490}">
          <x15:cacheHierarchy aggregatedColumn="5"/>
        </ext>
      </extLst>
    </cacheHierarchy>
    <cacheHierarchy uniqueName="[Measures].[Average of fund_age_yr]" caption="Average of fund_age_yr" measure="1" displayFolder="" measureGroup="table1" count="0" hidden="1">
      <extLst>
        <ext xmlns:x15="http://schemas.microsoft.com/office/spreadsheetml/2010/11/main" uri="{B97F6D7D-B522-45F9-BDA1-12C45D357490}">
          <x15:cacheHierarchy aggregatedColumn="5"/>
        </ext>
      </extLst>
    </cacheHierarchy>
    <cacheHierarchy uniqueName="[Measures].[Count of fund_manager]" caption="Count of fund_manager" measure="1" displayFolder="" measureGroup="table1" count="0" hidden="1">
      <extLst>
        <ext xmlns:x15="http://schemas.microsoft.com/office/spreadsheetml/2010/11/main" uri="{B97F6D7D-B522-45F9-BDA1-12C45D357490}">
          <x15:cacheHierarchy aggregatedColumn="6"/>
        </ext>
      </extLst>
    </cacheHierarchy>
    <cacheHierarchy uniqueName="[Measures].[Sum of returns_1yr]" caption="Sum of returns_1yr" measure="1" displayFolder="" measureGroup="table1" count="0" hidden="1">
      <extLst>
        <ext xmlns:x15="http://schemas.microsoft.com/office/spreadsheetml/2010/11/main" uri="{B97F6D7D-B522-45F9-BDA1-12C45D357490}">
          <x15:cacheHierarchy aggregatedColumn="17"/>
        </ext>
      </extLst>
    </cacheHierarchy>
    <cacheHierarchy uniqueName="[Measures].[Sum of returns_3yr]" caption="Sum of returns_3yr" measure="1" displayFolder="" measureGroup="table1" count="0" hidden="1">
      <extLst>
        <ext xmlns:x15="http://schemas.microsoft.com/office/spreadsheetml/2010/11/main" uri="{B97F6D7D-B522-45F9-BDA1-12C45D357490}">
          <x15:cacheHierarchy aggregatedColumn="18"/>
        </ext>
      </extLst>
    </cacheHierarchy>
    <cacheHierarchy uniqueName="[Measures].[Sum of returns_5yr]" caption="Sum of returns_5yr" measure="1" displayFolder="" measureGroup="table1" count="0" hidden="1">
      <extLst>
        <ext xmlns:x15="http://schemas.microsoft.com/office/spreadsheetml/2010/11/main" uri="{B97F6D7D-B522-45F9-BDA1-12C45D357490}">
          <x15:cacheHierarchy aggregatedColumn="19"/>
        </ext>
      </extLst>
    </cacheHierarchy>
    <cacheHierarchy uniqueName="[Measures].[Average of returns_3yr]" caption="Average of returns_3yr" measure="1" displayFolder="" measureGroup="table1" count="0" hidden="1">
      <extLst>
        <ext xmlns:x15="http://schemas.microsoft.com/office/spreadsheetml/2010/11/main" uri="{B97F6D7D-B522-45F9-BDA1-12C45D357490}">
          <x15:cacheHierarchy aggregatedColumn="18"/>
        </ext>
      </extLst>
    </cacheHierarchy>
    <cacheHierarchy uniqueName="[Measures].[Count of scheme_name]" caption="Count of scheme_name" measure="1" displayFolder="" measureGroup="table1" count="0" hidden="1">
      <extLst>
        <ext xmlns:x15="http://schemas.microsoft.com/office/spreadsheetml/2010/11/main" uri="{B97F6D7D-B522-45F9-BDA1-12C45D357490}">
          <x15:cacheHierarchy aggregatedColumn="0"/>
        </ext>
      </extLst>
    </cacheHierarchy>
    <cacheHierarchy uniqueName="[Measures].[Sum of expense_ratio]" caption="Sum of expense_ratio" measure="1" displayFolder="" measureGroup="table1" count="0" hidden="1">
      <extLst>
        <ext xmlns:x15="http://schemas.microsoft.com/office/spreadsheetml/2010/11/main" uri="{B97F6D7D-B522-45F9-BDA1-12C45D357490}">
          <x15:cacheHierarchy aggregatedColumn="3"/>
        </ext>
      </extLst>
    </cacheHierarchy>
    <cacheHierarchy uniqueName="[Measures].[Sum of risk_level]" caption="Sum of risk_level" measure="1" displayFolder="" measureGroup="table1" count="0" hidden="1">
      <extLst>
        <ext xmlns:x15="http://schemas.microsoft.com/office/spreadsheetml/2010/11/main" uri="{B97F6D7D-B522-45F9-BDA1-12C45D357490}">
          <x15:cacheHierarchy aggregatedColumn="12"/>
        </ext>
      </extLst>
    </cacheHierarchy>
    <cacheHierarchy uniqueName="[Measures].[Average of min_lumpsum]" caption="Average of min_lumpsum" measure="1" displayFolder="" measureGroup="table1" count="0" hidden="1">
      <extLst>
        <ext xmlns:x15="http://schemas.microsoft.com/office/spreadsheetml/2010/11/main" uri="{B97F6D7D-B522-45F9-BDA1-12C45D357490}">
          <x15:cacheHierarchy aggregatedColumn="2"/>
        </ext>
      </extLst>
    </cacheHierarchy>
    <cacheHierarchy uniqueName="[Measures].[Average of risk_level]" caption="Average of risk_level" measure="1" displayFolder="" measureGroup="table1" count="0" hidden="1">
      <extLst>
        <ext xmlns:x15="http://schemas.microsoft.com/office/spreadsheetml/2010/11/main" uri="{B97F6D7D-B522-45F9-BDA1-12C45D357490}">
          <x15:cacheHierarchy aggregatedColumn="12"/>
        </ext>
      </extLst>
    </cacheHierarchy>
    <cacheHierarchy uniqueName="[Measures].[Average of expense_ratio]" caption="Average of expense_ratio" measure="1" displayFolder="" measureGroup="table1"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
  <r>
    <s v="Aditya Birla SL Active Debt Multi-Mgr FoF-Dir Growth"/>
    <n v="100"/>
    <n v="100"/>
    <n v="0.27"/>
    <n v="10"/>
    <n v="10"/>
    <s v="Kaustubh Gupta"/>
    <n v="0.32"/>
    <n v="2.2400000000000002"/>
    <n v="9.39"/>
    <n v="0.01"/>
    <n v="0.24"/>
    <n v="3"/>
    <s v="Aditya Birla Sun Life Mutual Fund"/>
    <n v="3"/>
    <s v="Other"/>
    <s v="FoFs Domestic"/>
    <n v="4"/>
    <n v="6.5"/>
    <n v="6.9"/>
  </r>
  <r>
    <s v="Aditya Birla SL Arbitrage Fund"/>
    <n v="1000"/>
    <n v="1000"/>
    <n v="0.36"/>
    <n v="4288"/>
    <n v="10"/>
    <s v="Lovelish Solanki"/>
    <n v="1.33"/>
    <n v="1.53"/>
    <n v="0.72"/>
    <n v="0.56000000000000005"/>
    <n v="1.1000000000000001"/>
    <n v="1"/>
    <s v="Aditya Birla Sun Life Mutual Fund"/>
    <n v="3"/>
    <s v="Hybrid"/>
    <s v="Arbitrage Mutual Funds"/>
    <n v="5.6"/>
    <n v="4.8"/>
    <n v="5.5"/>
  </r>
  <r>
    <s v="AXIS All Seasons Debt Fund"/>
    <n v="1000"/>
    <n v="5000"/>
    <n v="0.22"/>
    <n v="161"/>
    <n v="3"/>
    <s v="R Sivakumar"/>
    <n v="1.77"/>
    <n v="1.88"/>
    <n v="2.06"/>
    <n v="0.8"/>
    <n v="1.02"/>
    <n v="4"/>
    <s v="Axis Mutual Fund"/>
    <n v="4"/>
    <s v="Other"/>
    <s v="FoFs Domestic"/>
    <n v="4.7"/>
    <n v="6.2"/>
    <m/>
  </r>
  <r>
    <s v="AXIS Nifty 100 Index Fund"/>
    <n v="1000"/>
    <n v="500"/>
    <n v="0.15"/>
    <n v="953"/>
    <n v="3"/>
    <s v="Ashish Naik"/>
    <n v="2.93"/>
    <n v="-1.76"/>
    <n v="16.66"/>
    <n v="0.99"/>
    <n v="1.24"/>
    <n v="6"/>
    <s v="Axis Mutual Fund"/>
    <n v="3"/>
    <s v="Other"/>
    <s v="Index Funds"/>
    <n v="-1.7"/>
    <n v="25.1"/>
    <m/>
  </r>
  <r>
    <s v="AXIS Retirement Savings Fund"/>
    <n v="1000"/>
    <n v="5000"/>
    <n v="0.65"/>
    <n v="633"/>
    <n v="3"/>
    <s v="Jinesh Gopani"/>
    <n v="1.56"/>
    <n v="-4.49"/>
    <n v="13.03"/>
    <n v="0.78"/>
    <n v="0.76"/>
    <n v="6"/>
    <s v="Axis Mutual Fund"/>
    <n v="1"/>
    <s v="Solution Oriented"/>
    <s v="Retirement Funds"/>
    <n v="-4.0999999999999996"/>
    <n v="14"/>
    <m/>
  </r>
  <r>
    <s v="AXIS Short Term Fund"/>
    <n v="1000"/>
    <n v="5000"/>
    <n v="0.3"/>
    <n v="7096"/>
    <n v="10"/>
    <s v="Devang Shah"/>
    <n v="2.78"/>
    <n v="4.5999999999999996"/>
    <n v="1.61"/>
    <n v="1.78"/>
    <n v="1.38"/>
    <n v="3"/>
    <s v="Axis Mutual Fund"/>
    <n v="4"/>
    <s v="Debt"/>
    <s v="Short Duration Funds"/>
    <n v="4.9000000000000004"/>
    <n v="6.9"/>
    <n v="7.4"/>
  </r>
  <r>
    <s v="AXIS Small Cap Fund"/>
    <n v="500"/>
    <n v="500"/>
    <n v="0.54"/>
    <n v="11462"/>
    <n v="9"/>
    <s v="Anupam Tiwari"/>
    <n v="3.9"/>
    <n v="8.34"/>
    <n v="14.71"/>
    <n v="0.66"/>
    <n v="2.06"/>
    <n v="6"/>
    <s v="Axis Mutual Fund"/>
    <n v="5"/>
    <s v="Equity"/>
    <s v="Small Cap Mutual Funds"/>
    <n v="3.4"/>
    <n v="34.5"/>
    <n v="19.399999999999999"/>
  </r>
  <r>
    <s v="AXIS Strategic Bond Fund"/>
    <n v="1000"/>
    <n v="5000"/>
    <n v="0.39"/>
    <n v="1644"/>
    <n v="10"/>
    <s v="Devang Shah"/>
    <n v="2.27"/>
    <n v="2.56"/>
    <n v="1.89"/>
    <n v="0.7"/>
    <n v="1.46"/>
    <n v="4"/>
    <s v="Axis Mutual Fund"/>
    <n v="4"/>
    <s v="Debt"/>
    <s v="Medium Duration Funds"/>
    <n v="5.2"/>
    <n v="7.4"/>
    <n v="7.4"/>
  </r>
  <r>
    <s v="AXIS Treasury Advantage Fund"/>
    <n v="1000"/>
    <n v="5000"/>
    <n v="0.28999999999999998"/>
    <n v="4614"/>
    <n v="10"/>
    <s v="Devang Shah"/>
    <n v="3.73"/>
    <n v="3.09"/>
    <n v="0.87"/>
    <n v="1.17"/>
    <n v="1.75"/>
    <n v="2"/>
    <s v="Axis Mutual Fund"/>
    <n v="4"/>
    <s v="Debt"/>
    <s v="Low Duration Funds"/>
    <n v="5.3"/>
    <n v="5.9"/>
    <n v="6.6"/>
  </r>
  <r>
    <s v="AXIS Triple Advantage Fund"/>
    <n v="1000"/>
    <n v="500"/>
    <n v="0.72"/>
    <n v="1478"/>
    <n v="10"/>
    <s v="R Sivakumar"/>
    <n v="2.35"/>
    <n v="-2.21"/>
    <n v="13.44"/>
    <n v="0.91"/>
    <n v="1.08"/>
    <n v="6"/>
    <s v="Axis Mutual Fund"/>
    <n v="2"/>
    <s v="Hybrid"/>
    <s v="Multi Asset Allocation Mutual Funds"/>
    <n v="-5.0999999999999996"/>
    <n v="18.100000000000001"/>
    <n v="10.4"/>
  </r>
  <r>
    <s v="AXIS Ultra Short Term Fund"/>
    <n v="1000"/>
    <n v="5000"/>
    <n v="0.31"/>
    <n v="4491"/>
    <n v="5"/>
    <s v="Aditya Pagaria"/>
    <n v="4.47"/>
    <n v="2.29"/>
    <n v="0.53"/>
    <n v="0.81"/>
    <n v="2.25"/>
    <n v="3"/>
    <s v="Axis Mutual Fund"/>
    <n v="4"/>
    <s v="Debt"/>
    <s v="Ultra Short Duration Funds"/>
    <n v="5.7"/>
    <n v="5.4"/>
    <m/>
  </r>
  <r>
    <s v="Bandhan Asset Allocation FoF â€“ Moderate â€“ Direct Growth"/>
    <n v="100"/>
    <n v="1000"/>
    <n v="0.42"/>
    <n v="16"/>
    <n v="10"/>
    <s v="Sachin Relekar"/>
    <n v="2.27"/>
    <n v="0.73"/>
    <n v="6.59"/>
    <n v="0.43"/>
    <n v="1.31"/>
    <n v="5"/>
    <s v="Bandhan Mutual Fund"/>
    <n v="0"/>
    <s v="Other"/>
    <s v="FoFs Domestic"/>
    <n v="1.3"/>
    <n v="12.7"/>
    <n v="6.9"/>
  </r>
  <r>
    <s v="Bandhan FTP â€“ Sr.179"/>
    <n v="0"/>
    <n v="5000"/>
    <n v="0.05"/>
    <n v="286"/>
    <n v="4"/>
    <s v="Harshal Joshi"/>
    <n v="0.9"/>
    <n v="9.7799999999999994"/>
    <n v="3.98"/>
    <n v="5.4"/>
    <n v="0.64"/>
    <n v="3"/>
    <s v="Bandhan Mutual Fund"/>
    <n v="0"/>
    <s v="Debt"/>
    <s v="Fixed Maturity Plans"/>
    <n v="4.4000000000000004"/>
    <n v="6.2"/>
    <m/>
  </r>
  <r>
    <s v="Bank of India Arbitrage Fund"/>
    <n v="1000"/>
    <n v="5000"/>
    <n v="0.98"/>
    <n v="12"/>
    <n v="5"/>
    <s v="Alok Singh"/>
    <n v="-1.1399999999999999"/>
    <n v="0.24"/>
    <n v="0.6"/>
    <n v="0.52"/>
    <n v="-0.78"/>
    <n v="1"/>
    <s v="Bank of India Mutual Fund"/>
    <n v="1"/>
    <s v="Hybrid"/>
    <s v="Arbitrage Mutual Funds"/>
    <n v="4.2"/>
    <n v="3.4"/>
    <m/>
  </r>
  <r>
    <s v="Bank of India Midcap Tax Fund"/>
    <n v="0"/>
    <n v="500"/>
    <n v="0.95"/>
    <n v="51"/>
    <n v="5"/>
    <s v="Dhruv Bhatia"/>
    <n v="2.64"/>
    <n v="3.13"/>
    <n v="17.03"/>
    <n v="0.87"/>
    <n v="1.38"/>
    <n v="6"/>
    <s v="Bank of India Mutual Fund"/>
    <n v="0"/>
    <s v="Equity"/>
    <s v="ELSS Mutual Funds"/>
    <n v="-4.0999999999999996"/>
    <n v="27.1"/>
    <n v="10.6"/>
  </r>
  <r>
    <s v="Bank of India Midcap Tax Fund"/>
    <n v="0"/>
    <n v="500"/>
    <n v="0.56000000000000005"/>
    <n v="26"/>
    <n v="4"/>
    <s v="Dhruv Bhatia"/>
    <n v="2.65"/>
    <n v="2.58"/>
    <n v="16.940000000000001"/>
    <n v="0.87"/>
    <n v="1.36"/>
    <n v="6"/>
    <s v="Bank of India Mutual Fund"/>
    <n v="0"/>
    <s v="Equity"/>
    <s v="ELSS Mutual Funds"/>
    <n v="-4.7"/>
    <n v="26"/>
    <m/>
  </r>
  <r>
    <s v="Bank of India Overnight Fund"/>
    <n v="0"/>
    <n v="5000"/>
    <n v="0.17"/>
    <n v="82"/>
    <n v="3"/>
    <s v="Mithraem Bharucha"/>
    <n v="1.92"/>
    <n v="0.76"/>
    <n v="0.34"/>
    <n v="0.47"/>
    <n v="0.39"/>
    <n v="1"/>
    <s v="Bank of India Mutual Fund"/>
    <n v="5"/>
    <s v="Debt"/>
    <s v="Overnight Mutual Funds"/>
    <n v="5.5"/>
    <n v="4"/>
    <m/>
  </r>
  <r>
    <s v="Bank of India Short Term Income â€“ Direct Growth"/>
    <n v="1000"/>
    <n v="5000"/>
    <n v="0.98"/>
    <n v="72"/>
    <n v="10"/>
    <s v="Mithraem Bharucha"/>
    <n v="0.76"/>
    <n v="3.58"/>
    <n v="11.44"/>
    <n v="-0.99"/>
    <n v="0.43"/>
    <n v="2"/>
    <s v="Bank of India Mutual Fund"/>
    <n v="5"/>
    <s v="Debt"/>
    <s v="Short Duration Funds"/>
    <n v="28.3"/>
    <n v="8.8000000000000007"/>
    <n v="4"/>
  </r>
  <r>
    <s v="Bank of India Small Cap Fund"/>
    <n v="1000"/>
    <n v="5000"/>
    <n v="1.52"/>
    <n v="414"/>
    <n v="4"/>
    <s v="Dhruv Bhatia"/>
    <n v="4.16"/>
    <n v="8.58"/>
    <n v="18.440000000000001"/>
    <n v="0.81"/>
    <n v="1.93"/>
    <n v="6"/>
    <s v="Bank of India Mutual Fund"/>
    <n v="4"/>
    <s v="Equity"/>
    <s v="Small Cap Mutual Funds"/>
    <n v="-1"/>
    <n v="47.7"/>
    <m/>
  </r>
  <r>
    <s v="Bank of India Tax Advantage Fund"/>
    <n v="500"/>
    <n v="500"/>
    <n v="1.31"/>
    <n v="676"/>
    <n v="10"/>
    <s v="Alok Singh"/>
    <n v="2.88"/>
    <n v="3.48"/>
    <n v="16.3"/>
    <n v="0.89"/>
    <n v="1.5"/>
    <n v="6"/>
    <s v="Bank of India Mutual Fund"/>
    <n v="4"/>
    <s v="Equity"/>
    <s v="ELSS Mutual Funds"/>
    <n v="0.9"/>
    <n v="29"/>
    <n v="13.2"/>
  </r>
  <r>
    <s v="Bank of India Ultra Short Duration Fund"/>
    <n v="1000"/>
    <n v="5000"/>
    <n v="0.36"/>
    <n v="118"/>
    <n v="10"/>
    <s v="Mithraem Bharucha"/>
    <n v="2.16"/>
    <n v="2.06"/>
    <n v="0.52"/>
    <n v="1.1200000000000001"/>
    <n v="1.07"/>
    <n v="3"/>
    <s v="Bank of India Mutual Fund"/>
    <n v="2"/>
    <s v="Debt"/>
    <s v="Ultra Short Duration Funds"/>
    <n v="5.2"/>
    <n v="4.7"/>
    <n v="5.7"/>
  </r>
  <r>
    <s v="Baroda BNP Paribas Aggressive Hybrid Fund"/>
    <n v="300"/>
    <n v="5000"/>
    <n v="0.61"/>
    <n v="772"/>
    <n v="6"/>
    <s v="Jitendra Sriram"/>
    <n v="2.79"/>
    <n v="1.88"/>
    <n v="11.77"/>
    <n v="0.79"/>
    <n v="1.39"/>
    <n v="6"/>
    <s v="Baroda BNP Paribas Mutual Fund"/>
    <n v="5"/>
    <s v="Hybrid"/>
    <s v="Aggressive Hybrid Mutual Funds"/>
    <n v="3.5"/>
    <n v="20.6"/>
    <n v="13.3"/>
  </r>
  <r>
    <s v="Baroda BNP Paribas Arbitrage Fund"/>
    <n v="300"/>
    <n v="5000"/>
    <n v="0.49"/>
    <n v="354"/>
    <n v="6"/>
    <s v="Neeraj Saxena"/>
    <n v="0.99"/>
    <n v="1.39"/>
    <n v="0.71"/>
    <n v="0.59"/>
    <n v="0.85"/>
    <n v="1"/>
    <s v="Baroda BNP Paribas Mutual Fund"/>
    <n v="3"/>
    <s v="Hybrid"/>
    <s v="Arbitrage Mutual Funds"/>
    <n v="5.2"/>
    <n v="4.5999999999999996"/>
    <n v="5.6"/>
  </r>
  <r>
    <s v="Baroda BNP Paribas Medium Duration Fund"/>
    <n v="300"/>
    <n v="5000"/>
    <n v="0.69"/>
    <n v="37"/>
    <n v="9"/>
    <s v="Mayank Prakash"/>
    <n v="0.42"/>
    <n v="0.42"/>
    <n v="2.34"/>
    <n v="1.1599999999999999"/>
    <n v="0.32"/>
    <n v="3"/>
    <s v="Baroda BNP Paribas Mutual Fund"/>
    <n v="2"/>
    <s v="Debt"/>
    <s v="Medium Duration Funds"/>
    <n v="3.9"/>
    <n v="5"/>
    <n v="3.5"/>
  </r>
  <r>
    <s v="Baroda BNP Paribas Mid Cap Fund"/>
    <n v="300"/>
    <n v="5000"/>
    <n v="0.59"/>
    <n v="1192"/>
    <n v="10"/>
    <s v="Shiv Chanani"/>
    <n v="3.35"/>
    <n v="1.31"/>
    <n v="15.92"/>
    <n v="0.86"/>
    <n v="1.67"/>
    <n v="6"/>
    <s v="Baroda BNP Paribas Mutual Fund"/>
    <n v="3"/>
    <s v="Equity"/>
    <s v="Mid Cap Mutual Funds"/>
    <n v="2.4"/>
    <n v="30.6"/>
    <n v="13.6"/>
  </r>
  <r>
    <s v="Baroda BNP Paribas Money Market Fund"/>
    <n v="500"/>
    <n v="5000"/>
    <n v="0.2"/>
    <n v="111"/>
    <n v="4"/>
    <s v="Vikram Pamnani"/>
    <n v="0.91"/>
    <n v="1.72"/>
    <n v="0.46"/>
    <n v="1.1499999999999999"/>
    <n v="0.38"/>
    <n v="2"/>
    <s v="Baroda BNP Paribas Mutual Fund"/>
    <n v="2"/>
    <s v="Debt"/>
    <s v="Money Market Funds"/>
    <n v="5"/>
    <n v="4.0999999999999996"/>
    <m/>
  </r>
  <r>
    <s v="BHARAT Bond FOF â€“ April 2025 â€“ Direct Growth"/>
    <n v="500"/>
    <n v="1000"/>
    <n v="0.06"/>
    <n v="3912"/>
    <n v="3"/>
    <s v="Dhawal Dalal"/>
    <s v="-"/>
    <s v="-"/>
    <s v="-"/>
    <s v="-"/>
    <s v="-"/>
    <n v="2"/>
    <s v="Edelweiss Mutual Fund"/>
    <n v="2"/>
    <s v="Other"/>
    <s v="FoFs Domestic"/>
    <n v="2.6"/>
    <m/>
    <m/>
  </r>
  <r>
    <s v="Canara Robeco Bluechip Equity Fund"/>
    <n v="1000"/>
    <n v="5000"/>
    <n v="0.48"/>
    <n v="8672"/>
    <n v="10"/>
    <s v="Shridatta Bhandwaldar"/>
    <n v="3.07"/>
    <n v="0.16"/>
    <n v="14.97"/>
    <n v="0.89"/>
    <n v="1.35"/>
    <n v="6"/>
    <s v="Canara Robeco Mutual Fund"/>
    <n v="5"/>
    <s v="Equity"/>
    <s v="Large Cap Mutual Funds"/>
    <n v="1.7"/>
    <n v="24.3"/>
    <n v="14.4"/>
  </r>
  <r>
    <s v="Canara Robeco Conservative Hybrid Fund"/>
    <n v="1000"/>
    <n v="5000"/>
    <n v="0.56999999999999995"/>
    <n v="1069"/>
    <n v="10"/>
    <s v="Avnish Jain"/>
    <n v="3.41"/>
    <n v="2.59"/>
    <n v="3.98"/>
    <n v="0.6"/>
    <n v="1.74"/>
    <n v="4"/>
    <s v="Canara Robeco Mutual Fund"/>
    <n v="5"/>
    <s v="Hybrid"/>
    <s v="Conservative Hybrid Mutual Funds"/>
    <n v="3.8"/>
    <n v="11.4"/>
    <n v="9.4"/>
  </r>
  <r>
    <s v="Canara Robeco Consumer Trends Fund"/>
    <n v="1000"/>
    <n v="5000"/>
    <n v="1"/>
    <n v="935"/>
    <n v="10"/>
    <s v="Shridatta Bhandwaldar"/>
    <n v="3.47"/>
    <n v="4.63"/>
    <n v="14.66"/>
    <n v="0.74"/>
    <n v="1.48"/>
    <n v="6"/>
    <s v="Canara Robeco Mutual Fund"/>
    <n v="4"/>
    <s v="Equity"/>
    <s v="Sectoral / Thematic Mutual Funds"/>
    <n v="7.1"/>
    <n v="26.7"/>
    <n v="15.1"/>
  </r>
  <r>
    <s v="Canara Robeco Corporate Bond Fund"/>
    <n v="1000"/>
    <n v="5000"/>
    <n v="0.39"/>
    <n v="191"/>
    <n v="9"/>
    <s v="Avnish Jain"/>
    <n v="1.35"/>
    <n v="1.33"/>
    <n v="1.81"/>
    <n v="0.77"/>
    <n v="0.85"/>
    <n v="2"/>
    <s v="Canara Robeco Mutual Fund"/>
    <n v="3"/>
    <s v="Debt"/>
    <s v="Corporate Bond Mutual Funds"/>
    <n v="4"/>
    <n v="6"/>
    <n v="6.7"/>
  </r>
  <r>
    <s v="Canara Robeco Dynamic Bond Fund"/>
    <n v="1000"/>
    <n v="5000"/>
    <n v="0.66"/>
    <n v="116"/>
    <n v="10"/>
    <s v="Kunal Jain"/>
    <n v="0.64"/>
    <n v="0.74"/>
    <n v="2.17"/>
    <n v="1.02"/>
    <n v="0.47"/>
    <n v="3"/>
    <s v="Canara Robeco Mutual Fund"/>
    <n v="3"/>
    <s v="Debt"/>
    <s v="Dynamic Bond"/>
    <n v="4.7"/>
    <n v="5.3"/>
    <n v="6.6"/>
  </r>
  <r>
    <s v="Canara Robeco Emerging Equities â€“ Direct Growth"/>
    <n v="1000"/>
    <n v="5000"/>
    <n v="0.6"/>
    <n v="15261"/>
    <n v="10"/>
    <s v="Shridatta Bhandwaldar"/>
    <n v="3.36"/>
    <n v="2.48"/>
    <n v="15.69"/>
    <n v="0.89"/>
    <n v="1.47"/>
    <n v="6"/>
    <s v="Canara Robeco Mutual Fund"/>
    <n v="3"/>
    <s v="Equity"/>
    <s v="Large &amp; Mid Cap Funds"/>
    <n v="-0.2"/>
    <n v="27"/>
    <n v="12.6"/>
  </r>
  <r>
    <s v="Canara Robeco Equity Hybrid Fund"/>
    <n v="1000"/>
    <n v="5000"/>
    <n v="0.63"/>
    <n v="8235"/>
    <n v="10"/>
    <s v="Shridatta Bhandwaldar"/>
    <n v="3.25"/>
    <n v="1.49"/>
    <n v="11.27"/>
    <n v="0.78"/>
    <n v="1.4"/>
    <n v="6"/>
    <s v="Canara Robeco Mutual Fund"/>
    <n v="4"/>
    <s v="Hybrid"/>
    <s v="Aggressive Hybrid Mutual Funds"/>
    <n v="1.8"/>
    <n v="20.100000000000001"/>
    <n v="12.2"/>
  </r>
  <r>
    <s v="Canara Robeco Equity Tax Saver Fund"/>
    <n v="500"/>
    <n v="500"/>
    <n v="0.64"/>
    <n v="4685"/>
    <n v="10"/>
    <s v="Vishal Mishra"/>
    <n v="3.08"/>
    <n v="2.7"/>
    <n v="15.37"/>
    <n v="0.87"/>
    <n v="1.51"/>
    <n v="6"/>
    <s v="Canara Robeco Mutual Fund"/>
    <n v="5"/>
    <s v="Equity"/>
    <s v="ELSS Mutual Funds"/>
    <n v="1.2"/>
    <n v="27.7"/>
    <n v="15.5"/>
  </r>
  <r>
    <s v="Canara Robeco Short Duration Fund"/>
    <n v="1000"/>
    <n v="5000"/>
    <n v="0.47"/>
    <n v="520"/>
    <n v="10"/>
    <s v="Suman Prasad"/>
    <n v="1.68"/>
    <n v="3.98"/>
    <n v="1.59"/>
    <n v="1.95"/>
    <n v="0.87"/>
    <n v="2"/>
    <s v="Canara Robeco Mutual Fund"/>
    <n v="3"/>
    <s v="Debt"/>
    <s v="Short Duration Funds"/>
    <n v="4.0999999999999996"/>
    <n v="5.9"/>
    <n v="6.5"/>
  </r>
  <r>
    <s v="Canara Robeco Small Cap Fund"/>
    <n v="1000"/>
    <n v="5000"/>
    <n v="0.47"/>
    <n v="4831"/>
    <n v="4"/>
    <s v="Shridatta Bhandwaldar"/>
    <n v="4.62"/>
    <n v="12.23"/>
    <n v="17.75"/>
    <n v="0.79"/>
    <n v="2.17"/>
    <n v="6"/>
    <s v="Canara Robeco Mutual Fund"/>
    <n v="5"/>
    <s v="Equity"/>
    <s v="Small Cap Mutual Funds"/>
    <n v="-0.6"/>
    <n v="51.8"/>
    <m/>
  </r>
  <r>
    <s v="Canara Robeco Ultra Short Term Fund"/>
    <n v="500"/>
    <n v="500"/>
    <n v="0.4"/>
    <n v="565"/>
    <n v="10"/>
    <s v="Suman Prasad"/>
    <n v="2.11"/>
    <n v="1.82"/>
    <n v="0.51"/>
    <n v="1.04"/>
    <n v="0.84"/>
    <n v="2"/>
    <s v="Canara Robeco Mutual Fund"/>
    <n v="2"/>
    <s v="Debt"/>
    <s v="Ultra Short Duration Funds"/>
    <n v="5.2"/>
    <n v="4.5"/>
    <n v="5.3"/>
  </r>
  <r>
    <s v="DSP Arbitrage Fund"/>
    <n v="500"/>
    <n v="500"/>
    <n v="0.35"/>
    <n v="1238"/>
    <n v="5"/>
    <s v="Kedar Karnik"/>
    <n v="1.08"/>
    <n v="1.45"/>
    <n v="0.72"/>
    <n v="0.64"/>
    <n v="0.82"/>
    <n v="1"/>
    <s v="DSP Mutual Fund"/>
    <n v="3"/>
    <s v="Hybrid"/>
    <s v="Arbitrage Mutual Funds"/>
    <n v="5.6"/>
    <n v="4.5999999999999996"/>
    <n v="5.4"/>
  </r>
  <r>
    <s v="DSP Banking &amp; Psu Debt Fund"/>
    <n v="500"/>
    <n v="500"/>
    <n v="0.33"/>
    <n v="2463"/>
    <n v="10"/>
    <s v="Vikram Chopra"/>
    <n v="1.59"/>
    <n v="4.78"/>
    <n v="1.87"/>
    <n v="2.4"/>
    <n v="0.84"/>
    <n v="2"/>
    <s v="DSP Mutual Fund"/>
    <n v="3"/>
    <s v="Debt"/>
    <s v="Banking and PSU Mutual Funds"/>
    <n v="4"/>
    <n v="6.4"/>
    <n v="6.9"/>
  </r>
  <r>
    <s v="DSP Bond Fund"/>
    <n v="500"/>
    <n v="500"/>
    <n v="0.39"/>
    <n v="333"/>
    <n v="10"/>
    <s v="Vivek Ramakrishnan"/>
    <n v="0.98"/>
    <n v="1.17"/>
    <n v="2.36"/>
    <n v="1.02"/>
    <n v="0.62"/>
    <n v="3"/>
    <s v="DSP Mutual Fund"/>
    <n v="3"/>
    <s v="Debt"/>
    <s v="Medium Duration Funds"/>
    <n v="3.8"/>
    <n v="6.1"/>
    <n v="4.9000000000000004"/>
  </r>
  <r>
    <s v="DSP Corporate Bond Fund"/>
    <n v="500"/>
    <n v="500"/>
    <n v="0.25"/>
    <n v="2065"/>
    <n v="5"/>
    <s v="Vivek Ramakrishnan"/>
    <n v="0.59"/>
    <n v="0.76"/>
    <n v="2.16"/>
    <n v="0.73"/>
    <n v="0.45"/>
    <n v="3"/>
    <s v="DSP Mutual Fund"/>
    <n v="2"/>
    <s v="Debt"/>
    <s v="Corporate Bond Mutual Funds"/>
    <n v="2.6"/>
    <n v="5.6"/>
    <m/>
  </r>
  <r>
    <s v="DSP Credit Risk Fund"/>
    <n v="500"/>
    <n v="500"/>
    <n v="0.38"/>
    <n v="210"/>
    <n v="10"/>
    <s v="Laukik Bagwe"/>
    <n v="1.23"/>
    <n v="2.84"/>
    <n v="4.32"/>
    <n v="0.26"/>
    <n v="0.57999999999999996"/>
    <n v="4"/>
    <s v="DSP Mutual Fund"/>
    <n v="3"/>
    <s v="Debt"/>
    <s v="Credit Risk Funds"/>
    <n v="10.8"/>
    <n v="6.6"/>
    <n v="4.5"/>
  </r>
  <r>
    <s v="DSP Dynamic Asset Allocation Fund"/>
    <n v="500"/>
    <n v="500"/>
    <n v="0.71"/>
    <n v="3770"/>
    <n v="9"/>
    <s v="Atul Bhole"/>
    <n v="2.7"/>
    <n v="-0.92"/>
    <n v="8.6199999999999992"/>
    <n v="0.53"/>
    <n v="1.03"/>
    <n v="5"/>
    <s v="DSP Mutual Fund"/>
    <n v="3"/>
    <s v="Hybrid"/>
    <s v="Dynamic Asset Allocation or Balanced Advantage"/>
    <n v="1.7"/>
    <n v="12.2"/>
    <n v="8.3000000000000007"/>
  </r>
  <r>
    <s v="DSP Equity &amp; Bond Fund"/>
    <n v="500"/>
    <n v="500"/>
    <n v="0.78"/>
    <n v="7358"/>
    <n v="10"/>
    <s v="Atul Bhole"/>
    <n v="2.7"/>
    <n v="0.51"/>
    <n v="12.7"/>
    <n v="0.83"/>
    <n v="1.25"/>
    <n v="6"/>
    <s v="DSP Mutual Fund"/>
    <n v="3"/>
    <s v="Hybrid"/>
    <s v="Aggressive Hybrid Mutual Funds"/>
    <n v="0.6"/>
    <n v="18.7"/>
    <n v="10.7"/>
  </r>
  <r>
    <s v="DSP Equity Opportunities Fund"/>
    <n v="500"/>
    <n v="500"/>
    <n v="0.91"/>
    <n v="7110"/>
    <n v="10"/>
    <s v="Rohit Singhania"/>
    <n v="2.87"/>
    <n v="1.89"/>
    <n v="16.600000000000001"/>
    <n v="0.93"/>
    <n v="1.4"/>
    <n v="6"/>
    <s v="DSP Mutual Fund"/>
    <n v="3"/>
    <s v="Equity"/>
    <s v="Large &amp; Mid Cap Funds"/>
    <n v="3.2"/>
    <n v="31.6"/>
    <n v="11.7"/>
  </r>
  <r>
    <s v="DSP Equity Savings Fund"/>
    <n v="500"/>
    <n v="500"/>
    <n v="0.4"/>
    <n v="535"/>
    <n v="7"/>
    <s v="Kedar Karnik"/>
    <n v="3.55"/>
    <n v="4.83"/>
    <n v="6.37"/>
    <n v="0.88"/>
    <n v="1.75"/>
    <n v="4"/>
    <s v="DSP Mutual Fund"/>
    <n v="2"/>
    <s v="Hybrid"/>
    <s v="Equity Savings Mutual Funds"/>
    <n v="4"/>
    <n v="14.6"/>
    <n v="7.8"/>
  </r>
  <r>
    <s v="DSP Flexi Cap Fund"/>
    <n v="500"/>
    <n v="500"/>
    <n v="0.76"/>
    <n v="7725"/>
    <n v="10"/>
    <s v="Atul Bhole"/>
    <n v="2.56"/>
    <n v="-1.47"/>
    <n v="16.670000000000002"/>
    <n v="0.93"/>
    <n v="1.23"/>
    <n v="6"/>
    <s v="DSP Mutual Fund"/>
    <n v="3"/>
    <s v="Equity"/>
    <s v="Flexi Cap Funds"/>
    <n v="-0.1"/>
    <n v="22.8"/>
    <n v="12"/>
  </r>
  <r>
    <s v="DSP Nifty 50 Index Fund"/>
    <n v="500"/>
    <n v="500"/>
    <n v="0.24"/>
    <n v="271"/>
    <n v="4"/>
    <s v="Anil Ghelani"/>
    <n v="3.43"/>
    <n v="-0.76"/>
    <n v="16.670000000000002"/>
    <n v="0.99"/>
    <n v="1.3"/>
    <n v="6"/>
    <s v="DSP Mutual Fund"/>
    <n v="3"/>
    <s v="Other"/>
    <s v="Index Funds"/>
    <n v="0.9"/>
    <n v="25.8"/>
    <m/>
  </r>
  <r>
    <s v="DSP Nifty Next 50 Index Fund"/>
    <n v="500"/>
    <n v="500"/>
    <n v="0.32"/>
    <n v="227"/>
    <n v="4"/>
    <s v="Anil Ghelani"/>
    <n v="1.68"/>
    <n v="-4.59"/>
    <n v="17.93"/>
    <n v="0.97"/>
    <n v="0.97"/>
    <n v="6"/>
    <s v="DSP Mutual Fund"/>
    <n v="2"/>
    <s v="Other"/>
    <s v="Index Funds"/>
    <n v="-6.3"/>
    <n v="21.8"/>
    <m/>
  </r>
  <r>
    <s v="DSP Overnight Fund"/>
    <n v="500"/>
    <n v="500"/>
    <n v="0.06"/>
    <n v="2754"/>
    <n v="4"/>
    <s v="Kedar Karnik"/>
    <n v="0.73"/>
    <n v="0.67"/>
    <n v="0.34"/>
    <n v="0.47"/>
    <n v="0.12"/>
    <n v="1"/>
    <s v="DSP Mutual Fund"/>
    <n v="4"/>
    <s v="Debt"/>
    <s v="Overnight Mutual Funds"/>
    <n v="5.4"/>
    <n v="3.9"/>
    <m/>
  </r>
  <r>
    <s v="DSP Regular Savings Fund"/>
    <n v="500"/>
    <n v="500"/>
    <n v="0.51"/>
    <n v="199"/>
    <n v="10"/>
    <s v="Vikram Chopra"/>
    <n v="2.68"/>
    <n v="2.2599999999999998"/>
    <n v="4.28"/>
    <n v="0.61"/>
    <n v="1.55"/>
    <n v="3"/>
    <s v="DSP Mutual Fund"/>
    <n v="2"/>
    <s v="Hybrid"/>
    <s v="Conservative Hybrid Mutual Funds"/>
    <n v="3"/>
    <n v="10.8"/>
    <n v="6"/>
  </r>
  <r>
    <s v="DSP Savings Fund"/>
    <n v="500"/>
    <n v="500"/>
    <n v="0.25"/>
    <n v="3903"/>
    <n v="10"/>
    <s v="Kedar Karnik"/>
    <n v="1.82"/>
    <n v="3.15"/>
    <n v="0.81"/>
    <n v="1.65"/>
    <n v="1.1499999999999999"/>
    <n v="3"/>
    <s v="DSP Mutual Fund"/>
    <n v="2"/>
    <s v="Debt"/>
    <s v="Money Market Funds"/>
    <n v="5"/>
    <n v="5.3"/>
    <n v="5.9"/>
  </r>
  <r>
    <s v="DSP Short Term Fund"/>
    <n v="500"/>
    <n v="500"/>
    <n v="0.3"/>
    <n v="2821"/>
    <n v="10"/>
    <s v="Laukik Bagwe"/>
    <n v="1.75"/>
    <n v="4.96"/>
    <n v="1.67"/>
    <n v="2.5099999999999998"/>
    <n v="0.96"/>
    <n v="2"/>
    <s v="DSP Mutual Fund"/>
    <n v="2"/>
    <s v="Debt"/>
    <s v="Short Duration Funds"/>
    <n v="4.0999999999999996"/>
    <n v="6.1"/>
    <n v="6.7"/>
  </r>
  <r>
    <s v="DSP Small Cap Fund"/>
    <n v="500"/>
    <n v="500"/>
    <n v="0.9"/>
    <n v="8953"/>
    <n v="10"/>
    <s v="Vinit Sambre"/>
    <n v="3.38"/>
    <n v="4.28"/>
    <n v="18.670000000000002"/>
    <n v="0.86"/>
    <n v="1.78"/>
    <n v="6"/>
    <s v="DSP Mutual Fund"/>
    <n v="2"/>
    <s v="Equity"/>
    <s v="Small Cap Mutual Funds"/>
    <n v="0.7"/>
    <n v="38.9"/>
    <n v="12.5"/>
  </r>
  <r>
    <s v="Edelweiss Aggressive Hybrid Fund"/>
    <n v="500"/>
    <n v="5000"/>
    <n v="0.36"/>
    <n v="469"/>
    <n v="10"/>
    <s v="Bharat Lahoti"/>
    <n v="3.83"/>
    <n v="5.57"/>
    <n v="11.66"/>
    <n v="0.79"/>
    <n v="1.72"/>
    <n v="6"/>
    <s v="Edelweiss Mutual Fund"/>
    <n v="4"/>
    <s v="Hybrid"/>
    <s v="Aggressive Hybrid Mutual Funds"/>
    <n v="6.5"/>
    <n v="24.6"/>
    <n v="13"/>
  </r>
  <r>
    <s v="Edelweiss Arbitrage Fund"/>
    <n v="500"/>
    <n v="5000"/>
    <n v="0.37"/>
    <n v="5393"/>
    <n v="9"/>
    <s v="Bhavesh Jain"/>
    <n v="1.61"/>
    <n v="1.78"/>
    <n v="0.72"/>
    <n v="0.63"/>
    <n v="1.31"/>
    <n v="1"/>
    <s v="Edelweiss Mutual Fund"/>
    <n v="5"/>
    <s v="Hybrid"/>
    <s v="Arbitrage Mutual Funds"/>
    <n v="5.8"/>
    <n v="5"/>
    <n v="5.7"/>
  </r>
  <r>
    <s v="Edelweiss Balanced Advantage Fund"/>
    <n v="500"/>
    <n v="5000"/>
    <n v="0.51"/>
    <n v="8780"/>
    <n v="10"/>
    <s v="Bhavesh Jain"/>
    <n v="3.31"/>
    <n v="2.1"/>
    <n v="9.7100000000000009"/>
    <n v="0.67"/>
    <n v="1.48"/>
    <n v="6"/>
    <s v="Edelweiss Mutual Fund"/>
    <n v="4"/>
    <s v="Hybrid"/>
    <s v="Dynamic Asset Allocation or Balanced Advantage"/>
    <n v="2.9"/>
    <n v="18.5"/>
    <n v="12"/>
  </r>
  <r>
    <s v="Edelweiss Banking &amp; Psu Debt Fund"/>
    <n v="500"/>
    <n v="5000"/>
    <n v="0.26"/>
    <n v="355"/>
    <n v="10"/>
    <s v="Dhawal Dalal"/>
    <n v="0.78"/>
    <n v="6.29"/>
    <n v="3.68"/>
    <n v="3.18"/>
    <n v="0.55000000000000004"/>
    <n v="3"/>
    <s v="Edelweiss Mutual Fund"/>
    <n v="2"/>
    <s v="Debt"/>
    <s v="Banking and PSU Mutual Funds"/>
    <n v="3.5"/>
    <n v="6.9"/>
    <n v="7.9"/>
  </r>
  <r>
    <s v="Edelweiss Equity Savings Fund"/>
    <n v="500"/>
    <n v="5000"/>
    <n v="0.7"/>
    <n v="258"/>
    <n v="8"/>
    <s v="Bharat Lahoti"/>
    <n v="3.22"/>
    <n v="2.41"/>
    <n v="5.29"/>
    <n v="0.79"/>
    <n v="1.53"/>
    <n v="4"/>
    <s v="Edelweiss Mutual Fund"/>
    <n v="5"/>
    <s v="Hybrid"/>
    <s v="Equity Savings Mutual Funds"/>
    <n v="4.4000000000000004"/>
    <n v="12.1"/>
    <n v="9"/>
  </r>
  <r>
    <s v="Edelweiss Europe Dynamic Equity Offshore â€“ Dir Growth"/>
    <n v="500"/>
    <n v="5000"/>
    <n v="1.5"/>
    <n v="83"/>
    <n v="9"/>
    <s v="Bhavesh Jain"/>
    <n v="1.64"/>
    <s v="-"/>
    <n v="19.12"/>
    <s v="-"/>
    <n v="0.93"/>
    <n v="6"/>
    <s v="Edelweiss Mutual Fund"/>
    <n v="0"/>
    <s v="Other"/>
    <s v="FoFs Overseas"/>
    <n v="9.1999999999999993"/>
    <n v="25.2"/>
    <n v="7.6"/>
  </r>
  <r>
    <s v="Edelweiss Flexi Cap Fund"/>
    <n v="500"/>
    <n v="5000"/>
    <n v="0.56000000000000005"/>
    <n v="1056"/>
    <n v="8"/>
    <s v="Trideep Bhattacharya"/>
    <n v="3.41"/>
    <n v="1.91"/>
    <n v="16.02"/>
    <n v="0.92"/>
    <n v="1.46"/>
    <n v="6"/>
    <s v="Edelweiss Mutual Fund"/>
    <n v="3"/>
    <s v="Equity"/>
    <s v="Flexi Cap Funds"/>
    <n v="1.9"/>
    <n v="27.5"/>
    <n v="12.1"/>
  </r>
  <r>
    <s v="Edelweiss Govt Securities Fund"/>
    <n v="500"/>
    <n v="5000"/>
    <n v="0.66"/>
    <n v="119"/>
    <n v="9"/>
    <s v="Dhawal Dalal"/>
    <n v="1.63"/>
    <n v="1.77"/>
    <n v="2.77"/>
    <n v="0.61"/>
    <n v="0.88"/>
    <n v="3"/>
    <s v="Edelweiss Mutual Fund"/>
    <n v="5"/>
    <s v="Debt"/>
    <s v="Gilt Mutual Funds"/>
    <n v="4.3"/>
    <n v="6.8"/>
    <n v="8.1999999999999993"/>
  </r>
  <r>
    <s v="Edelweiss Greater China Equity Off-Shore Fund"/>
    <n v="500"/>
    <n v="5000"/>
    <n v="1.44"/>
    <n v="1897"/>
    <n v="10"/>
    <s v="Bhavesh Jain"/>
    <n v="0.6"/>
    <s v="-"/>
    <n v="25.75"/>
    <s v="-"/>
    <n v="0.3"/>
    <n v="6"/>
    <s v="Edelweiss Mutual Fund"/>
    <n v="0"/>
    <s v="Other"/>
    <s v="FoFs Overseas"/>
    <n v="-4.0999999999999996"/>
    <n v="9"/>
    <n v="6.1"/>
  </r>
  <r>
    <s v="Edelweiss Large &amp; Mid Cap Fund"/>
    <n v="500"/>
    <n v="5000"/>
    <n v="0.6"/>
    <n v="1711"/>
    <n v="10"/>
    <s v="Abhishek Gupta"/>
    <n v="3.56"/>
    <n v="2.77"/>
    <n v="15.87"/>
    <n v="0.9"/>
    <n v="1.47"/>
    <n v="6"/>
    <s v="Edelweiss Mutual Fund"/>
    <n v="4"/>
    <s v="Equity"/>
    <s v="Large &amp; Mid Cap Funds"/>
    <n v="1.2"/>
    <n v="27.8"/>
    <n v="13.2"/>
  </r>
  <r>
    <s v="Franklin Build India Fund"/>
    <n v="500"/>
    <n v="5000"/>
    <n v="1.3"/>
    <n v="1184"/>
    <n v="10"/>
    <s v="Ajay Argal"/>
    <n v="3.18"/>
    <n v="8.0500000000000007"/>
    <n v="19.059999999999999"/>
    <n v="0.71"/>
    <n v="1.6"/>
    <n v="6"/>
    <s v="Franklin Templeton Mutual Fund"/>
    <n v="3"/>
    <s v="Equity"/>
    <s v="Sectoral / Thematic Mutual Funds"/>
    <n v="16"/>
    <n v="36.1"/>
    <n v="13.3"/>
  </r>
  <r>
    <s v="Franklin India Banking &amp; PSU Debt Fund"/>
    <n v="500"/>
    <n v="5000"/>
    <n v="0.16"/>
    <n v="712"/>
    <n v="9"/>
    <s v="Umesh Sharma"/>
    <n v="1.06"/>
    <n v="3.72"/>
    <n v="1.74"/>
    <n v="1.87"/>
    <n v="0.7"/>
    <n v="2"/>
    <s v="Franklin Templeton Mutual Fund"/>
    <n v="2"/>
    <s v="Debt"/>
    <s v="Banking and PSU Mutual Funds"/>
    <n v="4.2"/>
    <n v="6.1"/>
    <n v="7.2"/>
  </r>
  <r>
    <s v="Franklin India Bluechip Fund"/>
    <n v="500"/>
    <n v="5000"/>
    <n v="1.01"/>
    <n v="6205"/>
    <n v="10"/>
    <s v="Anand Radhakrishnan"/>
    <n v="2.72"/>
    <n v="0.71"/>
    <n v="16.829999999999998"/>
    <n v="0.92"/>
    <n v="1.28"/>
    <n v="6"/>
    <s v="Franklin Templeton Mutual Fund"/>
    <n v="2"/>
    <s v="Equity"/>
    <s v="Large Cap Mutual Funds"/>
    <n v="-1"/>
    <n v="25.1"/>
    <n v="9.6999999999999993"/>
  </r>
  <r>
    <s v="Franklin India Corporate Debt Fund"/>
    <n v="500"/>
    <n v="10000"/>
    <n v="0.21"/>
    <n v="748"/>
    <n v="10"/>
    <s v="Santosh Kamath"/>
    <n v="1.65"/>
    <n v="1.68"/>
    <n v="1.8"/>
    <n v="0.56000000000000005"/>
    <n v="1.02"/>
    <n v="2"/>
    <s v="Franklin Templeton Mutual Fund"/>
    <n v="3"/>
    <s v="Debt"/>
    <s v="Corporate Bond Mutual Funds"/>
    <n v="4.4000000000000004"/>
    <n v="6.3"/>
    <n v="7"/>
  </r>
  <r>
    <s v="Franklin India Debt Hybrid Fund"/>
    <n v="500"/>
    <n v="10000"/>
    <n v="0.56999999999999995"/>
    <n v="246"/>
    <n v="10"/>
    <s v="Rajasa Kakulavarapu"/>
    <n v="2.98"/>
    <n v="1.26"/>
    <n v="3.89"/>
    <n v="0.59"/>
    <n v="1.42"/>
    <n v="4"/>
    <s v="Franklin Templeton Mutual Fund"/>
    <n v="3"/>
    <s v="Hybrid"/>
    <s v="Conservative Hybrid Mutual Funds"/>
    <n v="5.0999999999999996"/>
    <n v="9.8000000000000007"/>
    <n v="7"/>
  </r>
  <r>
    <s v="Franklin India Dynamic Asset Allocation FoFs-Dir-G"/>
    <n v="500"/>
    <n v="5000"/>
    <n v="0.46"/>
    <n v="1103"/>
    <n v="10"/>
    <s v="Rajasa Kakulavarapu"/>
    <n v="1.87"/>
    <n v="8.57"/>
    <n v="10.19"/>
    <n v="0.3"/>
    <n v="1.39"/>
    <n v="4"/>
    <s v="Franklin Templeton Mutual Fund"/>
    <n v="3"/>
    <s v="Other"/>
    <s v="FoFs Domestic"/>
    <n v="5.9"/>
    <n v="18.2"/>
    <n v="9.1999999999999993"/>
  </r>
  <r>
    <s v="Franklin India Equity Advantage Fund"/>
    <n v="500"/>
    <n v="5000"/>
    <n v="1.37"/>
    <n v="2556"/>
    <n v="10"/>
    <s v="R Janakiraman"/>
    <n v="3.41"/>
    <n v="2.99"/>
    <n v="17.489999999999998"/>
    <n v="0.96"/>
    <n v="1.43"/>
    <n v="6"/>
    <s v="Franklin Templeton Mutual Fund"/>
    <n v="2"/>
    <s v="Equity"/>
    <s v="Large &amp; Mid Cap Funds"/>
    <n v="-0.9"/>
    <n v="27.7"/>
    <n v="9.1999999999999993"/>
  </r>
  <r>
    <s v="Franklin India Equity Hybrid Fund"/>
    <n v="500"/>
    <n v="5000"/>
    <n v="1.2"/>
    <n v="1347"/>
    <n v="10"/>
    <s v="Rajasa Kakulavarapu"/>
    <n v="3.24"/>
    <n v="3.49"/>
    <n v="12.1"/>
    <n v="0.8"/>
    <n v="1.51"/>
    <n v="6"/>
    <s v="Franklin Templeton Mutual Fund"/>
    <n v="3"/>
    <s v="Hybrid"/>
    <s v="Aggressive Hybrid Mutual Funds"/>
    <n v="5.3"/>
    <n v="22.5"/>
    <n v="11"/>
  </r>
  <r>
    <s v="Franklin India Equity Savings Fund"/>
    <n v="500"/>
    <n v="5000"/>
    <n v="0.71"/>
    <n v="153"/>
    <n v="5"/>
    <s v="Rajasa Kakulavarapu"/>
    <n v="3.01"/>
    <n v="3.39"/>
    <n v="6.61"/>
    <n v="0.94"/>
    <n v="1.53"/>
    <n v="3"/>
    <s v="Franklin Templeton Mutual Fund"/>
    <n v="3"/>
    <s v="Hybrid"/>
    <s v="Equity Savings Mutual Funds"/>
    <n v="4.8"/>
    <n v="14"/>
    <m/>
  </r>
  <r>
    <s v="Franklin India Feeder â€“ Franklin U.S. Opp.-Dir Growth"/>
    <n v="500"/>
    <n v="5000"/>
    <n v="0.72"/>
    <n v="2880"/>
    <n v="10"/>
    <s v="Sandeep Manam"/>
    <n v="0.95"/>
    <s v="-"/>
    <n v="23.08"/>
    <s v="-"/>
    <n v="0.5"/>
    <n v="6"/>
    <s v="Franklin Templeton Mutual Fund"/>
    <n v="0"/>
    <s v="Other"/>
    <s v="FoFs Overseas"/>
    <n v="-12.1"/>
    <n v="17.399999999999999"/>
    <n v="11.6"/>
  </r>
  <r>
    <s v="Franklin India Flexi Cap Fund"/>
    <n v="500"/>
    <n v="5000"/>
    <n v="1.1000000000000001"/>
    <n v="9989"/>
    <n v="10"/>
    <s v="Anand Radhakrishnan"/>
    <n v="3.27"/>
    <n v="4.83"/>
    <n v="16.63"/>
    <n v="0.93"/>
    <n v="1.6"/>
    <n v="6"/>
    <s v="Franklin Templeton Mutual Fund"/>
    <n v="4"/>
    <s v="Equity"/>
    <s v="Flexi Cap Funds"/>
    <n v="3.8"/>
    <n v="31.1"/>
    <n v="12"/>
  </r>
  <r>
    <s v="Franklin India Floating Rate Fund"/>
    <n v="500"/>
    <n v="1000"/>
    <n v="0.21"/>
    <n v="311"/>
    <n v="10"/>
    <s v="Pallab Roy"/>
    <n v="2.6"/>
    <n v="2.33"/>
    <n v="0.84"/>
    <n v="0.75"/>
    <n v="1.58"/>
    <n v="2"/>
    <s v="Franklin Templeton Mutual Fund"/>
    <n v="4"/>
    <s v="Debt"/>
    <s v="Floater Mutual Funds"/>
    <n v="5.8"/>
    <n v="5.6"/>
    <n v="6.2"/>
  </r>
  <r>
    <s v="Franklin India Focused Equity Fund"/>
    <n v="500"/>
    <n v="5000"/>
    <n v="1.1599999999999999"/>
    <n v="8022"/>
    <n v="10"/>
    <s v="Ajay Argal"/>
    <n v="3.17"/>
    <n v="3.6"/>
    <n v="18.62"/>
    <n v="0.98"/>
    <n v="1.43"/>
    <n v="6"/>
    <s v="Franklin Templeton Mutual Fund"/>
    <n v="4"/>
    <s v="Equity"/>
    <s v="Focused Funds"/>
    <n v="5.0999999999999996"/>
    <n v="30.9"/>
    <n v="12.9"/>
  </r>
  <r>
    <s v="Franklin India G-Sec Fund"/>
    <n v="500"/>
    <n v="10000"/>
    <n v="0.56999999999999995"/>
    <n v="121"/>
    <n v="10"/>
    <s v="Sachin Padwal Desai"/>
    <n v="0.04"/>
    <n v="-0.49"/>
    <n v="2.35"/>
    <n v="0.52"/>
    <n v="0.04"/>
    <n v="3"/>
    <s v="Franklin Templeton Mutual Fund"/>
    <n v="2"/>
    <s v="Debt"/>
    <s v="Gilt Mutual Funds"/>
    <n v="3.5"/>
    <n v="4.0999999999999996"/>
    <n v="6.3"/>
  </r>
  <r>
    <s v="HDFC Floating Rate Debt Fund"/>
    <n v="100"/>
    <n v="100"/>
    <n v="0.26"/>
    <n v="14785"/>
    <n v="10"/>
    <s v="Shobhit Mehrotra"/>
    <n v="3.33"/>
    <n v="3.39"/>
    <n v="1.24"/>
    <n v="0.9"/>
    <n v="1.76"/>
    <n v="3"/>
    <s v="HDFC Mutual Fund"/>
    <n v="4"/>
    <s v="Debt"/>
    <s v="Floater Mutual Funds"/>
    <n v="5.6"/>
    <n v="6.5"/>
    <n v="6.9"/>
  </r>
  <r>
    <s v="HDFC Focused 30 Fund"/>
    <n v="100"/>
    <n v="100"/>
    <n v="0.54"/>
    <n v="3609"/>
    <n v="10"/>
    <s v="Roshi Jain"/>
    <n v="3.93"/>
    <n v="7.78"/>
    <n v="17.190000000000001"/>
    <n v="0.92"/>
    <n v="1.71"/>
    <n v="6"/>
    <s v="HDFC Mutual Fund"/>
    <n v="3"/>
    <s v="Equity"/>
    <s v="Focused Funds"/>
    <n v="16"/>
    <n v="35.799999999999997"/>
    <n v="11.9"/>
  </r>
  <r>
    <s v="HDFC Gilt Fund"/>
    <n v="100"/>
    <n v="100"/>
    <n v="0.46"/>
    <n v="1739"/>
    <n v="10"/>
    <s v="Anil Bamboli"/>
    <n v="0.43"/>
    <n v="0.23"/>
    <n v="2.78"/>
    <n v="0.64"/>
    <n v="0.34"/>
    <n v="3"/>
    <s v="HDFC Mutual Fund"/>
    <n v="2"/>
    <s v="Debt"/>
    <s v="Gilt Mutual Funds"/>
    <n v="3.6"/>
    <n v="4.9000000000000004"/>
    <n v="6.4"/>
  </r>
  <r>
    <s v="HDFC Gold Fund"/>
    <n v="100"/>
    <n v="100"/>
    <n v="0.18"/>
    <n v="1402"/>
    <n v="10"/>
    <s v="Nirman Morakhia"/>
    <n v="1.03"/>
    <n v="-0.5"/>
    <n v="14.19"/>
    <n v="1.01"/>
    <n v="0.47"/>
    <n v="5"/>
    <s v="HDFC Mutual Fund"/>
    <n v="5"/>
    <s v="Other"/>
    <s v="FoFs Domestic"/>
    <n v="14.2"/>
    <n v="12.3"/>
    <n v="13.4"/>
  </r>
  <r>
    <s v="HDFC Housing Opportunities Fund"/>
    <n v="100"/>
    <n v="100"/>
    <n v="1.28"/>
    <n v="1081"/>
    <n v="5"/>
    <s v="Rakesh Vyas"/>
    <n v="2.5"/>
    <n v="0.23"/>
    <n v="19.34"/>
    <n v="1"/>
    <n v="1.23"/>
    <n v="6"/>
    <s v="HDFC Mutual Fund"/>
    <n v="0"/>
    <s v="Equity"/>
    <s v="Sectoral / Thematic Mutual Funds"/>
    <n v="9.8000000000000007"/>
    <n v="27.1"/>
    <n v="7.9"/>
  </r>
  <r>
    <s v="HDFC Hybrid Debt Fund"/>
    <n v="100"/>
    <n v="100"/>
    <n v="1.33"/>
    <n v="2695"/>
    <n v="10"/>
    <s v="Shobhit Mehrotra"/>
    <n v="3.46"/>
    <n v="3.73"/>
    <n v="4.97"/>
    <n v="0.69"/>
    <n v="1.74"/>
    <n v="4"/>
    <s v="HDFC Mutual Fund"/>
    <n v="3"/>
    <s v="Hybrid"/>
    <s v="Conservative Hybrid Mutual Funds"/>
    <n v="6"/>
    <n v="13.3"/>
    <n v="8.4"/>
  </r>
  <r>
    <s v="HDFC Hybrid Equity Fund"/>
    <n v="100"/>
    <n v="100"/>
    <n v="1.0900000000000001"/>
    <n v="18729"/>
    <n v="10"/>
    <s v="Chirag Setalvad"/>
    <n v="3.42"/>
    <n v="4.8600000000000003"/>
    <n v="13.03"/>
    <n v="0.87"/>
    <n v="1.6"/>
    <n v="6"/>
    <s v="HDFC Mutual Fund"/>
    <n v="3"/>
    <s v="Hybrid"/>
    <s v="Aggressive Hybrid Mutual Funds"/>
    <n v="7.7"/>
    <n v="25.6"/>
    <n v="11.3"/>
  </r>
  <r>
    <s v="HDFC Income Fund"/>
    <n v="100"/>
    <n v="100"/>
    <n v="0.51"/>
    <n v="528"/>
    <n v="10"/>
    <s v="Shobhit Mehrotra"/>
    <n v="0.43"/>
    <n v="0.51"/>
    <n v="2.5299999999999998"/>
    <n v="1.28"/>
    <n v="0.34"/>
    <n v="3"/>
    <s v="HDFC Mutual Fund"/>
    <n v="3"/>
    <s v="Debt"/>
    <s v="Medium to Long Duration Funds"/>
    <n v="3.8"/>
    <n v="5.2"/>
    <n v="6.1"/>
  </r>
  <r>
    <s v="HDFC Index Fund"/>
    <n v="100"/>
    <n v="100"/>
    <n v="0.2"/>
    <n v="4210"/>
    <n v="10"/>
    <s v="Nirman Morakhia"/>
    <n v="3.48"/>
    <n v="-0.64"/>
    <n v="16.760000000000002"/>
    <n v="1"/>
    <n v="1.31"/>
    <n v="6"/>
    <s v="HDFC Mutual Fund"/>
    <n v="4"/>
    <s v="Other"/>
    <s v="Index Funds"/>
    <n v="2.4"/>
    <n v="25.8"/>
    <n v="12.8"/>
  </r>
  <r>
    <s v="HDFC Index Fund"/>
    <n v="100"/>
    <n v="100"/>
    <n v="0.2"/>
    <n v="7457"/>
    <n v="10"/>
    <s v="Nirman Morakhia"/>
    <n v="3.24"/>
    <n v="-1.01"/>
    <n v="17.02"/>
    <n v="1.01"/>
    <n v="1.28"/>
    <n v="6"/>
    <s v="HDFC Mutual Fund"/>
    <n v="3"/>
    <s v="Other"/>
    <s v="Index Funds"/>
    <n v="0.9"/>
    <n v="26"/>
    <n v="12"/>
  </r>
  <r>
    <s v="HDFC Infrastructure Fund"/>
    <n v="100"/>
    <n v="100"/>
    <n v="1.75"/>
    <n v="593"/>
    <n v="10"/>
    <s v="Rakesh Vyas"/>
    <n v="3.12"/>
    <n v="2.65"/>
    <n v="23.69"/>
    <n v="0.88"/>
    <n v="1.3"/>
    <n v="6"/>
    <s v="HDFC Mutual Fund"/>
    <n v="1"/>
    <s v="Equity"/>
    <s v="Sectoral / Thematic Mutual Funds"/>
    <n v="16.5"/>
    <n v="34.299999999999997"/>
    <n v="5.3"/>
  </r>
  <r>
    <s v="HDFC Large and Mid Cap Fund"/>
    <n v="100"/>
    <n v="100"/>
    <n v="1.03"/>
    <n v="7897"/>
    <n v="10"/>
    <s v="Gopal Agrawal"/>
    <n v="3.56"/>
    <n v="4.97"/>
    <n v="17.78"/>
    <n v="0.98"/>
    <n v="1.55"/>
    <n v="6"/>
    <s v="HDFC Mutual Fund"/>
    <n v="3"/>
    <s v="Equity"/>
    <s v="Large &amp; Mid Cap Funds"/>
    <n v="6.3"/>
    <n v="33.299999999999997"/>
    <n v="12.8"/>
  </r>
  <r>
    <s v="HDFC Liquid Fund"/>
    <n v="300"/>
    <n v="5000"/>
    <n v="0.2"/>
    <n v="49008"/>
    <n v="10"/>
    <s v="Anupam Joshi"/>
    <n v="3.68"/>
    <n v="1.34"/>
    <n v="0.38"/>
    <n v="0.78"/>
    <n v="0.79"/>
    <n v="2"/>
    <s v="HDFC Mutual Fund"/>
    <n v="2"/>
    <s v="Debt"/>
    <s v="Liquid Mutual Funds"/>
    <n v="5.6"/>
    <n v="4.3"/>
    <n v="5.3"/>
  </r>
  <r>
    <s v="HDFC Low Duration Fund"/>
    <n v="100"/>
    <n v="100"/>
    <n v="0.43"/>
    <n v="14779"/>
    <n v="10"/>
    <s v="Anupam Joshi"/>
    <n v="3.31"/>
    <n v="2.82"/>
    <n v="1.1100000000000001"/>
    <n v="0.67"/>
    <n v="1.73"/>
    <n v="2"/>
    <s v="HDFC Mutual Fund"/>
    <n v="4"/>
    <s v="Debt"/>
    <s v="Low Duration Funds"/>
    <n v="5.4"/>
    <n v="6.2"/>
    <n v="6.7"/>
  </r>
  <r>
    <s v="HDFC Medium Term Debt Fund"/>
    <n v="100"/>
    <n v="100"/>
    <n v="0.57999999999999996"/>
    <n v="3538"/>
    <n v="10"/>
    <s v="Shobhit Mehrotra"/>
    <n v="1.34"/>
    <n v="2.14"/>
    <n v="2.33"/>
    <n v="0.78"/>
    <n v="1.01"/>
    <n v="4"/>
    <s v="HDFC Mutual Fund"/>
    <n v="3"/>
    <s v="Debt"/>
    <s v="Medium Duration Funds"/>
    <n v="4.0999999999999996"/>
    <n v="6.9"/>
    <n v="7.4"/>
  </r>
  <r>
    <s v="HDFC Mid-Cap Opportunities Fund"/>
    <n v="100"/>
    <n v="100"/>
    <n v="0.95"/>
    <n v="35009"/>
    <n v="10"/>
    <s v="Chirag Setalvad"/>
    <n v="3.64"/>
    <n v="2.4500000000000002"/>
    <n v="16.86"/>
    <n v="0.93"/>
    <n v="1.77"/>
    <n v="6"/>
    <s v="HDFC Mutual Fund"/>
    <n v="3"/>
    <s v="Equity"/>
    <s v="Mid Cap Mutual Funds"/>
    <n v="11.9"/>
    <n v="34.200000000000003"/>
    <n v="13.1"/>
  </r>
  <r>
    <s v="HDFC Money Market Fund"/>
    <n v="100"/>
    <n v="100"/>
    <n v="0.21"/>
    <n v="15176"/>
    <n v="10"/>
    <s v="Vikas Agrawal"/>
    <n v="4.8499999999999996"/>
    <n v="3.08"/>
    <n v="0.69"/>
    <n v="1.33"/>
    <n v="1.89"/>
    <n v="3"/>
    <s v="HDFC Mutual Fund"/>
    <n v="3"/>
    <s v="Debt"/>
    <s v="Money Market Funds"/>
    <n v="5.6"/>
    <n v="5.6"/>
    <n v="6.3"/>
  </r>
  <r>
    <s v="HSBC Arbitrage Fund"/>
    <n v="500"/>
    <n v="5000"/>
    <n v="0.28999999999999998"/>
    <n v="2344"/>
    <n v="9"/>
    <s v="Ritesh Jain"/>
    <n v="1.54"/>
    <n v="1.63"/>
    <n v="0.7"/>
    <n v="0.63"/>
    <n v="1.1200000000000001"/>
    <n v="1"/>
    <s v="HSBC Mutual Fund"/>
    <n v="4"/>
    <s v="Hybrid"/>
    <s v="Arbitrage Mutual Funds"/>
    <n v="5.4"/>
    <n v="4.7"/>
    <n v="5.5"/>
  </r>
  <r>
    <s v="HSBC Asia Pacific (Ex Japan) DYF â€“ Direct Growth"/>
    <n v="500"/>
    <n v="5000"/>
    <n v="1.29"/>
    <n v="8.4"/>
    <n v="9"/>
    <s v="Sonal Gupta"/>
    <n v="0.87"/>
    <s v="-"/>
    <n v="17.079999999999998"/>
    <s v="-"/>
    <n v="0.48"/>
    <n v="6"/>
    <s v="HSBC Mutual Fund"/>
    <n v="0"/>
    <s v="Other"/>
    <s v="FoFs Overseas"/>
    <n v="-4.2"/>
    <n v="13.6"/>
    <n v="5.7"/>
  </r>
  <r>
    <s v="HSBC Balanced Advantage Fund"/>
    <n v="500"/>
    <n v="5000"/>
    <n v="0.78"/>
    <n v="1511"/>
    <n v="10"/>
    <s v="Ritesh Jain"/>
    <n v="2.95"/>
    <n v="0.89"/>
    <n v="7.21"/>
    <n v="0.45"/>
    <n v="1.27"/>
    <n v="4"/>
    <s v="HSBC Mutual Fund"/>
    <n v="3"/>
    <s v="Hybrid"/>
    <s v="Dynamic Asset Allocation or Balanced Advantage"/>
    <n v="3.5"/>
    <n v="13.4"/>
    <n v="8"/>
  </r>
  <r>
    <s v="HSBC Banking and PSU Debt Fund"/>
    <n v="500"/>
    <n v="5000"/>
    <n v="0.23"/>
    <n v="3779"/>
    <n v="10"/>
    <s v="Jalpan Shah"/>
    <n v="0.64"/>
    <n v="5.62"/>
    <n v="2.39"/>
    <n v="3.36"/>
    <n v="0.47"/>
    <n v="3"/>
    <s v="HSBC Mutual Fund"/>
    <n v="1"/>
    <s v="Debt"/>
    <s v="Banking and PSU Mutual Funds"/>
    <n v="2.2000000000000002"/>
    <n v="6"/>
    <n v="6.5"/>
  </r>
  <r>
    <s v="HSBC Business Cycles Fund"/>
    <n v="500"/>
    <n v="5000"/>
    <n v="1.42"/>
    <n v="535"/>
    <n v="9"/>
    <s v="Venugopal Manghat"/>
    <n v="3.13"/>
    <n v="2.69"/>
    <n v="17.41"/>
    <n v="0.97"/>
    <n v="1.46"/>
    <n v="6"/>
    <s v="HSBC Mutual Fund"/>
    <n v="0"/>
    <s v="Equity"/>
    <s v="Sectoral / Thematic Mutual Funds"/>
    <n v="7"/>
    <n v="28"/>
    <n v="8.6999999999999993"/>
  </r>
  <r>
    <s v="HSBC Conservative Hybrid Fund"/>
    <n v="500"/>
    <n v="5000"/>
    <n v="1.34"/>
    <n v="122"/>
    <n v="10"/>
    <s v="Ritesh Jain"/>
    <n v="2.2999999999999998"/>
    <n v="0.76"/>
    <n v="4.75"/>
    <n v="0.74"/>
    <n v="1.28"/>
    <n v="4"/>
    <s v="HSBC Mutual Fund"/>
    <n v="3"/>
    <s v="Hybrid"/>
    <s v="Conservative Hybrid Mutual Funds"/>
    <n v="2.2999999999999998"/>
    <n v="10.3"/>
    <n v="7.5"/>
  </r>
  <r>
    <s v="HSBC Corporate Bond Fund"/>
    <n v="500"/>
    <n v="5000"/>
    <n v="0.35"/>
    <n v="157"/>
    <n v="2"/>
    <s v="Ritesh Jain"/>
    <n v="0.44"/>
    <n v="0.67"/>
    <n v="2.4700000000000002"/>
    <n v="1.0900000000000001"/>
    <n v="0.39"/>
    <n v="2"/>
    <s v="HSBC Mutual Fund"/>
    <n v="2"/>
    <s v="Debt"/>
    <s v="Corporate Bond Mutual Funds"/>
    <n v="1.7"/>
    <n v="32.4"/>
    <n v="13.3"/>
  </r>
  <r>
    <s v="HSBC Corporate Bond Fund"/>
    <n v="500"/>
    <n v="5000"/>
    <n v="0.28999999999999998"/>
    <n v="6772"/>
    <n v="10"/>
    <s v="Shriram Ramanathan"/>
    <n v="0.67"/>
    <n v="1.19"/>
    <n v="3.55"/>
    <n v="1.68"/>
    <n v="0.47"/>
    <n v="3"/>
    <s v="HSBC Mutual Fund"/>
    <n v="1"/>
    <s v="Debt"/>
    <s v="Corporate Bond Mutual Funds"/>
    <n v="3.3"/>
    <n v="6.6"/>
    <n v="7.6"/>
  </r>
  <r>
    <s v="HSBC Credit Risk Fund"/>
    <n v="500"/>
    <n v="5000"/>
    <n v="0.85"/>
    <n v="130"/>
    <n v="10"/>
    <s v="Shriram Ramanathan"/>
    <n v="0.33"/>
    <n v="-1.87"/>
    <n v="3.73"/>
    <n v="-2.39"/>
    <n v="0.35"/>
    <n v="4"/>
    <s v="HSBC Mutual Fund"/>
    <n v="3"/>
    <s v="Debt"/>
    <s v="Credit Risk Funds"/>
    <n v="4.8"/>
    <n v="5.7"/>
    <n v="5.0999999999999996"/>
  </r>
  <r>
    <s v="HSBC Dynamic Bond Fund"/>
    <n v="500"/>
    <n v="5000"/>
    <n v="0.28999999999999998"/>
    <n v="200"/>
    <n v="10"/>
    <s v="Shriram Ramanathan"/>
    <n v="0.44"/>
    <n v="0.67"/>
    <n v="2.4700000000000002"/>
    <n v="1.0900000000000001"/>
    <n v="0.39"/>
    <n v="3"/>
    <s v="HSBC Mutual Fund"/>
    <n v="3"/>
    <s v="Debt"/>
    <s v="Dynamic Bond"/>
    <n v="4.7"/>
    <n v="5.4"/>
    <n v="6.8"/>
  </r>
  <r>
    <s v="HSBC ELSS Fund"/>
    <n v="500"/>
    <n v="500"/>
    <n v="1.1599999999999999"/>
    <n v="3007"/>
    <n v="10"/>
    <s v="Cheenu Gupta"/>
    <n v="2.8"/>
    <n v="-0.03"/>
    <n v="16.03"/>
    <n v="0.91"/>
    <n v="1.33"/>
    <n v="6"/>
    <s v="HSBC Mutual Fund"/>
    <n v="1"/>
    <s v="Equity"/>
    <s v="ELSS Mutual Funds"/>
    <n v="-1.2"/>
    <n v="24.1"/>
    <n v="8"/>
  </r>
  <r>
    <s v="HSBC Equity Hybrid Fund"/>
    <n v="500"/>
    <n v="5000"/>
    <n v="1"/>
    <n v="474"/>
    <n v="4"/>
    <s v="Neelotpal Sahai"/>
    <n v="2.41"/>
    <n v="0.56999999999999995"/>
    <n v="12.27"/>
    <n v="0.81"/>
    <n v="1.26"/>
    <n v="6"/>
    <s v="HSBC Mutual Fund"/>
    <n v="3"/>
    <s v="Hybrid"/>
    <s v="Aggressive Hybrid Mutual Funds"/>
    <n v="1.7"/>
    <n v="32.4"/>
    <n v="13.3"/>
  </r>
  <r>
    <s v="HSBC Equity Savings Fund"/>
    <n v="500"/>
    <n v="5000"/>
    <n v="0.62"/>
    <n v="150"/>
    <n v="10"/>
    <s v="Ritesh Jain"/>
    <n v="4.47"/>
    <n v="5.57"/>
    <n v="6.24"/>
    <n v="0.85"/>
    <n v="1.86"/>
    <n v="3"/>
    <s v="HSBC Mutual Fund"/>
    <n v="2"/>
    <s v="Hybrid"/>
    <s v="Equity Savings Mutual Funds"/>
    <n v="2.9"/>
    <n v="15.5"/>
    <n v="7.5"/>
  </r>
  <r>
    <s v="HSBC Flexi Cap Fund"/>
    <n v="500"/>
    <n v="5000"/>
    <n v="1.23"/>
    <n v="3097"/>
    <n v="10"/>
    <s v="Vihang Naik"/>
    <n v="2.92"/>
    <n v="0.36"/>
    <n v="16.25"/>
    <n v="0.94"/>
    <n v="1.38"/>
    <n v="6"/>
    <s v="HSBC Mutual Fund"/>
    <n v="2"/>
    <s v="Equity"/>
    <s v="Flexi Cap Funds"/>
    <n v="-1.2"/>
    <n v="26.4"/>
    <n v="9.1999999999999993"/>
  </r>
  <r>
    <s v="HSBC Flexi Debt Fund"/>
    <n v="500"/>
    <n v="5000"/>
    <n v="0.94"/>
    <n v="54"/>
    <n v="10"/>
    <s v="Ritesh Jain"/>
    <n v="0.44"/>
    <n v="0.67"/>
    <n v="2.4700000000000002"/>
    <n v="1.0900000000000001"/>
    <n v="0.39"/>
    <n v="3"/>
    <s v="HSBC Mutual Fund"/>
    <n v="2"/>
    <s v="Debt"/>
    <s v="Dynamic Bond"/>
    <n v="1.7"/>
    <n v="32.4"/>
    <n v="13.3"/>
  </r>
  <r>
    <s v="HSBC Gilt Fund"/>
    <n v="500"/>
    <n v="5000"/>
    <n v="0.48"/>
    <n v="231"/>
    <n v="10"/>
    <s v="Jalpan Shah"/>
    <n v="0.49"/>
    <n v="0.51"/>
    <n v="2.94"/>
    <n v="0.64"/>
    <n v="0.41"/>
    <n v="3"/>
    <s v="HSBC Mutual Fund"/>
    <n v="3"/>
    <s v="Debt"/>
    <s v="Gilt Mutual Funds"/>
    <n v="5"/>
    <n v="5.4"/>
    <n v="7.1"/>
  </r>
  <r>
    <s v="HSBC Infrastructure Fund"/>
    <n v="500"/>
    <n v="5000"/>
    <n v="1.1399999999999999"/>
    <n v="1476"/>
    <n v="10"/>
    <s v="Venugopal Manghat"/>
    <n v="3.69"/>
    <n v="10.029999999999999"/>
    <n v="16.32"/>
    <n v="0.6"/>
    <n v="1.78"/>
    <n v="6"/>
    <s v="HSBC Mutual Fund"/>
    <n v="2"/>
    <s v="Equity"/>
    <s v="Sectoral / Thematic Mutual Funds"/>
    <n v="11.3"/>
    <n v="33.6"/>
    <n v="9.3000000000000007"/>
  </r>
  <r>
    <s v="HSBC Large &amp; Mid Cap Fund"/>
    <n v="500"/>
    <n v="5000"/>
    <n v="1.08"/>
    <n v="1992"/>
    <n v="4"/>
    <s v="Neelotpal Sahai"/>
    <n v="3.02"/>
    <n v="1.39"/>
    <n v="15.85"/>
    <n v="0.91"/>
    <n v="1.4"/>
    <n v="6"/>
    <s v="HSBC Mutual Fund"/>
    <n v="2"/>
    <s v="Equity"/>
    <s v="Large &amp; Mid Cap Funds"/>
    <n v="-0.6"/>
    <n v="25.6"/>
    <m/>
  </r>
  <r>
    <s v="HSBC Large Cap Fund"/>
    <n v="500"/>
    <n v="5000"/>
    <n v="1.26"/>
    <n v="1405"/>
    <n v="10"/>
    <s v="Neelotpal Sahai"/>
    <n v="2.6"/>
    <n v="-2.34"/>
    <n v="16.62"/>
    <n v="0.97"/>
    <n v="1.18"/>
    <n v="6"/>
    <s v="HSBC Mutual Fund"/>
    <n v="2"/>
    <s v="Equity"/>
    <s v="Large Cap Mutual Funds"/>
    <n v="0"/>
    <n v="23.3"/>
    <n v="10.6"/>
  </r>
  <r>
    <s v="HSBC Liquid Fund"/>
    <n v="500"/>
    <n v="5000"/>
    <n v="0.12"/>
    <n v="12043"/>
    <n v="10"/>
    <s v="Kapil Punjabi"/>
    <n v="4.42"/>
    <n v="1.38"/>
    <n v="0.38"/>
    <n v="0.77"/>
    <n v="0.91"/>
    <n v="2"/>
    <s v="HSBC Mutual Fund"/>
    <n v="3"/>
    <s v="Debt"/>
    <s v="Liquid Mutual Funds"/>
    <n v="5.7"/>
    <n v="4.3"/>
    <n v="5.3"/>
  </r>
  <r>
    <s v="HSBC Low Duration Fund"/>
    <n v="500"/>
    <n v="5000"/>
    <n v="0.25"/>
    <n v="467"/>
    <n v="10"/>
    <s v="Shriram Ramanathan"/>
    <n v="0.63"/>
    <n v="0.3"/>
    <n v="2.3199999999999998"/>
    <n v="-0.78"/>
    <n v="0.57999999999999996"/>
    <n v="2"/>
    <s v="HSBC Mutual Fund"/>
    <n v="3"/>
    <s v="Debt"/>
    <s v="Low Duration Funds"/>
    <n v="5.2"/>
    <n v="5.6"/>
    <n v="5.8"/>
  </r>
  <r>
    <s v="ICICI Pru All Seasons Bond Fund"/>
    <n v="100"/>
    <n v="5000"/>
    <n v="0.62"/>
    <n v="6754"/>
    <n v="10"/>
    <s v="Manish Banthia"/>
    <n v="2.39"/>
    <n v="2.84"/>
    <n v="2.25"/>
    <n v="0.98"/>
    <n v="1.38"/>
    <n v="3"/>
    <s v="ICICI Prudential Mutual Fund"/>
    <n v="5"/>
    <s v="Debt"/>
    <s v="Dynamic Bond"/>
    <n v="6.5"/>
    <n v="7.5"/>
    <n v="8.1999999999999993"/>
  </r>
  <r>
    <s v="ICICI Pru Asset Allocator Fund"/>
    <n v="1000"/>
    <n v="5000"/>
    <n v="0.18"/>
    <n v="18393"/>
    <n v="10"/>
    <s v="Dharmesh Kakkad"/>
    <n v="5.89"/>
    <n v="7.45"/>
    <n v="8.68"/>
    <n v="0.53"/>
    <n v="1.99"/>
    <n v="4"/>
    <s v="ICICI Prudential Mutual Fund"/>
    <n v="4"/>
    <s v="Other"/>
    <s v="FoFs Domestic"/>
    <n v="8.8000000000000007"/>
    <n v="21.6"/>
    <n v="12.8"/>
  </r>
  <r>
    <s v="ICICI Pru Balanced Advantage Fund"/>
    <n v="100"/>
    <n v="500"/>
    <n v="0.91"/>
    <n v="44515"/>
    <n v="10"/>
    <s v="Sankaran Naren"/>
    <n v="5.59"/>
    <n v="5.34"/>
    <n v="8.33"/>
    <n v="0.54"/>
    <n v="1.84"/>
    <n v="5"/>
    <s v="ICICI Prudential Mutual Fund"/>
    <n v="4"/>
    <s v="Hybrid"/>
    <s v="Dynamic Asset Allocation or Balanced Advantage"/>
    <n v="6.7"/>
    <n v="19.7"/>
    <n v="10.4"/>
  </r>
  <r>
    <s v="ICICI Pru Banking &amp; Financial Services â€“ DirectGrowth"/>
    <n v="100"/>
    <n v="5000"/>
    <n v="1.1000000000000001"/>
    <n v="5871"/>
    <n v="10"/>
    <s v="Roshan Chutkey"/>
    <n v="2.23"/>
    <n v="3.74"/>
    <n v="23.41"/>
    <n v="0.87"/>
    <n v="1.06"/>
    <n v="6"/>
    <s v="ICICI Prudential Mutual Fund"/>
    <n v="3"/>
    <s v="Equity"/>
    <s v="Sectoral / Thematic Mutual Funds"/>
    <n v="7"/>
    <n v="24.9"/>
    <n v="9.6999999999999993"/>
  </r>
  <r>
    <s v="ICICI Pru Banking &amp; PSU Debt Fund"/>
    <n v="100"/>
    <n v="500"/>
    <n v="0.38"/>
    <n v="7265"/>
    <n v="10"/>
    <s v="Rahul Goswami"/>
    <n v="2.64"/>
    <n v="4.03"/>
    <n v="1.75"/>
    <n v="1.21"/>
    <n v="1.37"/>
    <n v="2"/>
    <s v="ICICI Prudential Mutual Fund"/>
    <n v="5"/>
    <s v="Debt"/>
    <s v="Banking and PSU Mutual Funds"/>
    <n v="5.8"/>
    <n v="6.9"/>
    <n v="7.2"/>
  </r>
  <r>
    <s v="ICICI Pru BHARAT 22 FOF  â€“ Direct Growth"/>
    <n v="1000"/>
    <n v="5000"/>
    <n v="0.08"/>
    <n v="89"/>
    <n v="5"/>
    <s v="Kayzad Eghlim"/>
    <n v="2.76"/>
    <n v="9.68"/>
    <n v="20.2"/>
    <n v="0.88"/>
    <n v="1.47"/>
    <n v="6"/>
    <s v="ICICI Prudential Mutual Fund"/>
    <n v="5"/>
    <s v="Other"/>
    <s v="FoFs Domestic"/>
    <n v="22.1"/>
    <n v="35"/>
    <m/>
  </r>
  <r>
    <s v="ICICI Pru Bharat Consumption Fund"/>
    <n v="100"/>
    <n v="5000"/>
    <n v="1.54"/>
    <n v="1866"/>
    <n v="4"/>
    <s v="Sankaran Naren"/>
    <n v="3.37"/>
    <n v="4.95"/>
    <n v="11.73"/>
    <n v="0.6"/>
    <n v="1.6"/>
    <n v="6"/>
    <s v="ICICI Prudential Mutual Fund"/>
    <n v="3"/>
    <s v="Equity"/>
    <s v="Sectoral / Thematic Mutual Funds"/>
    <n v="10.199999999999999"/>
    <n v="22.7"/>
    <m/>
  </r>
  <r>
    <s v="ICICI Pru Bluechip Fund"/>
    <n v="100"/>
    <n v="100"/>
    <n v="1.06"/>
    <n v="34198"/>
    <n v="10"/>
    <s v="Anish Tawakley"/>
    <n v="3.59"/>
    <n v="3.05"/>
    <n v="15.23"/>
    <n v="0.9"/>
    <n v="1.53"/>
    <n v="6"/>
    <s v="ICICI Prudential Mutual Fund"/>
    <n v="4"/>
    <s v="Equity"/>
    <s v="Large Cap Mutual Funds"/>
    <n v="4.4000000000000004"/>
    <n v="28.2"/>
    <n v="12.3"/>
  </r>
  <r>
    <s v="ICICI Pru Bond Fund"/>
    <n v="100"/>
    <n v="5000"/>
    <n v="0.6"/>
    <n v="2223"/>
    <n v="10"/>
    <s v="Manish Banthia"/>
    <n v="1.2"/>
    <n v="1.58"/>
    <n v="2.69"/>
    <n v="1.26"/>
    <n v="0.72"/>
    <n v="3"/>
    <s v="ICICI Prudential Mutual Fund"/>
    <n v="3"/>
    <s v="Debt"/>
    <s v="Medium to Long Duration Funds"/>
    <n v="5.2"/>
    <n v="6.9"/>
    <n v="7.3"/>
  </r>
  <r>
    <s v="ICICI Pru Child Care Fund"/>
    <n v="100"/>
    <n v="5000"/>
    <n v="1.69"/>
    <n v="844"/>
    <n v="10"/>
    <s v="Manish Banthia"/>
    <n v="2.86"/>
    <n v="2.1800000000000002"/>
    <n v="11.15"/>
    <n v="0.74"/>
    <n v="1.42"/>
    <n v="6"/>
    <s v="ICICI Prudential Mutual Fund"/>
    <n v="3"/>
    <s v="Solution Oriented"/>
    <s v="Childrens Funds"/>
    <n v="1"/>
    <n v="19.8"/>
    <n v="8.8000000000000007"/>
  </r>
  <r>
    <s v="ICICI Pru Corporate Bond Fund"/>
    <n v="100"/>
    <n v="100"/>
    <n v="0.3"/>
    <n v="16998"/>
    <n v="10"/>
    <s v="Rahul Goswami"/>
    <n v="3.07"/>
    <n v="2.35"/>
    <n v="1.67"/>
    <n v="0.68"/>
    <n v="1.52"/>
    <n v="2"/>
    <s v="ICICI Prudential Mutual Fund"/>
    <n v="5"/>
    <s v="Debt"/>
    <s v="Corporate Bond Mutual Funds"/>
    <n v="5.8"/>
    <n v="7"/>
    <n v="7.3"/>
  </r>
  <r>
    <s v="ICICI Pru Credit Risk Fund"/>
    <n v="100"/>
    <n v="100"/>
    <n v="0.86"/>
    <n v="7584"/>
    <n v="10"/>
    <s v="Manish Banthia"/>
    <n v="3.18"/>
    <n v="3.97"/>
    <n v="1.59"/>
    <n v="0.42"/>
    <n v="2.15"/>
    <n v="4"/>
    <s v="ICICI Prudential Mutual Fund"/>
    <n v="4"/>
    <s v="Debt"/>
    <s v="Credit Risk Funds"/>
    <n v="5.8"/>
    <n v="8"/>
    <n v="8.1"/>
  </r>
  <r>
    <s v="ICICI Pru Debt Management Fund"/>
    <n v="100"/>
    <n v="100"/>
    <n v="0.41"/>
    <n v="141"/>
    <n v="10"/>
    <s v="Manish Banthia"/>
    <n v="3.01"/>
    <n v="2.0699999999999998"/>
    <n v="1.61"/>
    <n v="0.53"/>
    <n v="1.38"/>
    <n v="3"/>
    <s v="ICICI Prudential Mutual Fund"/>
    <n v="4"/>
    <s v="Other"/>
    <s v="FoFs Domestic"/>
    <n v="5.8"/>
    <n v="6.7"/>
    <n v="7"/>
  </r>
  <r>
    <s v="ICICI Pru Dividend Yield Equity Fund"/>
    <n v="100"/>
    <n v="5000"/>
    <n v="0.66"/>
    <n v="1258"/>
    <n v="9"/>
    <s v="Mittul Kalawadia"/>
    <n v="5.0599999999999996"/>
    <n v="10.39"/>
    <n v="15.42"/>
    <n v="0.83"/>
    <n v="1.94"/>
    <n v="6"/>
    <s v="ICICI Prudential Mutual Fund"/>
    <n v="0"/>
    <s v="Equity"/>
    <s v="Dividend Yield Funds"/>
    <n v="8.5"/>
    <n v="37.6"/>
    <n v="12.1"/>
  </r>
  <r>
    <s v="ICICI Pru Equity &amp; Debt Fund"/>
    <n v="100"/>
    <n v="5000"/>
    <n v="1.2"/>
    <n v="21232"/>
    <n v="10"/>
    <s v="Sankaran Naren"/>
    <n v="4.1500000000000004"/>
    <n v="9.56"/>
    <n v="14.26"/>
    <n v="0.84"/>
    <n v="1.75"/>
    <n v="6"/>
    <s v="ICICI Prudential Mutual Fund"/>
    <n v="5"/>
    <s v="Hybrid"/>
    <s v="Aggressive Hybrid Mutual Funds"/>
    <n v="6.8"/>
    <n v="30.6"/>
    <n v="14.3"/>
  </r>
  <r>
    <s v="ICICI Pru Equity â€“ Arbitrage Fund"/>
    <n v="1000"/>
    <n v="5000"/>
    <n v="0.39"/>
    <n v="11272"/>
    <n v="10"/>
    <s v="Kayzad Eghlim"/>
    <n v="1.27"/>
    <n v="1.59"/>
    <n v="0.75"/>
    <n v="0.63"/>
    <n v="0.99"/>
    <n v="1"/>
    <s v="ICICI Prudential Mutual Fund"/>
    <n v="3"/>
    <s v="Hybrid"/>
    <s v="Arbitrage Mutual Funds"/>
    <n v="5.6"/>
    <n v="4.8"/>
    <n v="5.5"/>
  </r>
  <r>
    <s v="IDBI Credit Risk Fund"/>
    <n v="500"/>
    <n v="5000"/>
    <n v="0.61"/>
    <n v="22"/>
    <n v="9"/>
    <s v="Raju Sharma"/>
    <n v="3.09"/>
    <n v="3.08"/>
    <n v="6.23"/>
    <n v="-2.4900000000000002"/>
    <n v="1.03"/>
    <n v="4"/>
    <s v="IDBI Mutual Fund"/>
    <n v="3"/>
    <s v="Debt"/>
    <s v="Credit Risk Funds"/>
    <n v="4.3"/>
    <n v="11.3"/>
    <n v="3.7"/>
  </r>
  <r>
    <s v="IDBI Dividend Yield Fund"/>
    <n v="500"/>
    <n v="5000"/>
    <n v="1.5"/>
    <n v="85"/>
    <n v="4"/>
    <s v="Alok Ranjan"/>
    <n v="2.79"/>
    <n v="1.29"/>
    <n v="14.28"/>
    <n v="0.81"/>
    <n v="1.43"/>
    <n v="6"/>
    <s v="IDBI Mutual Fund"/>
    <n v="0"/>
    <s v="Equity"/>
    <s v="Dividend Yield Funds"/>
    <n v="0.1"/>
    <n v="25.2"/>
    <m/>
  </r>
  <r>
    <s v="IDBI Equity Advantage Fund"/>
    <n v="500"/>
    <n v="500"/>
    <n v="1.21"/>
    <n v="455"/>
    <n v="10"/>
    <s v="Alok Ranjan"/>
    <n v="2.4"/>
    <n v="-1.93"/>
    <n v="14.59"/>
    <n v="0.8"/>
    <n v="1.1499999999999999"/>
    <n v="6"/>
    <s v="IDBI Mutual Fund"/>
    <n v="2"/>
    <s v="Equity"/>
    <s v="ELSS Mutual Funds"/>
    <n v="-0.7"/>
    <n v="33.700000000000003"/>
    <n v="11.3"/>
  </r>
  <r>
    <s v="IDBI Equity Savings Fund"/>
    <n v="500"/>
    <n v="5000"/>
    <n v="1.1499999999999999"/>
    <n v="9.77"/>
    <n v="10"/>
    <s v="Alok Ranjan"/>
    <n v="2.48"/>
    <n v="0.39"/>
    <n v="7.12"/>
    <n v="1.05"/>
    <n v="1.1100000000000001"/>
    <n v="4"/>
    <s v="IDBI Mutual Fund"/>
    <n v="2"/>
    <s v="Hybrid"/>
    <s v="Equity Savings Mutual Funds"/>
    <n v="2.5"/>
    <n v="11.8"/>
    <n v="7.2"/>
  </r>
  <r>
    <s v="IDBI Focused 30 Equity Fund"/>
    <n v="500"/>
    <n v="5000"/>
    <n v="1.61"/>
    <n v="125"/>
    <n v="5"/>
    <s v="Alok Ranjan"/>
    <n v="3.11"/>
    <n v="-0.56999999999999995"/>
    <n v="16.02"/>
    <n v="0.94"/>
    <n v="1.29"/>
    <n v="6"/>
    <s v="IDBI Mutual Fund"/>
    <n v="3"/>
    <s v="Equity"/>
    <s v="Focused Funds"/>
    <n v="0.1"/>
    <n v="25.2"/>
    <n v="10.199999999999999"/>
  </r>
  <r>
    <s v="IDBI Gold Fund"/>
    <n v="500"/>
    <n v="5000"/>
    <n v="0.26"/>
    <n v="42"/>
    <n v="10"/>
    <s v="Nitin Dattaram Dalvi"/>
    <n v="0.82"/>
    <n v="-0.02"/>
    <n v="16.54"/>
    <n v="1"/>
    <n v="0.42"/>
    <n v="5"/>
    <s v="IDBI Mutual Fund"/>
    <n v="3"/>
    <s v="Other"/>
    <s v="FoFs Domestic"/>
    <n v="15"/>
    <n v="12.1"/>
    <n v="12.9"/>
  </r>
  <r>
    <s v="IDBI Healthcare Fund"/>
    <n v="500"/>
    <n v="5000"/>
    <n v="1.24"/>
    <n v="49"/>
    <n v="4"/>
    <s v="Alok Ranjan"/>
    <n v="1.57"/>
    <n v="-3.1"/>
    <n v="20.52"/>
    <n v="0.95"/>
    <n v="0.71"/>
    <n v="6"/>
    <s v="IDBI Mutual Fund"/>
    <n v="0"/>
    <s v="Equity"/>
    <s v="Sectoral / Thematic Mutual Funds"/>
    <n v="-13"/>
    <n v="17.100000000000001"/>
    <m/>
  </r>
  <r>
    <s v="IDBI Hybrid Equity Fund"/>
    <n v="500"/>
    <n v="5000"/>
    <n v="1.67"/>
    <n v="171"/>
    <n v="6"/>
    <s v="Alok Ranjan"/>
    <n v="2.66"/>
    <n v="-0.86"/>
    <n v="11.4"/>
    <n v="0.78"/>
    <n v="1.18"/>
    <n v="6"/>
    <s v="IDBI Mutual Fund"/>
    <n v="2"/>
    <s v="Hybrid"/>
    <s v="Aggressive Hybrid Mutual Funds"/>
    <n v="-1.8"/>
    <n v="17.5"/>
    <n v="7"/>
  </r>
  <r>
    <s v="IDBI India Top 100 Equity Fund"/>
    <n v="500"/>
    <n v="5000"/>
    <n v="1.26"/>
    <n v="599"/>
    <n v="10"/>
    <s v="Alok Ranjan"/>
    <n v="2.94"/>
    <n v="0.51"/>
    <n v="15.82"/>
    <n v="0.93"/>
    <n v="1.36"/>
    <n v="6"/>
    <s v="IDBI Mutual Fund"/>
    <n v="4"/>
    <s v="Equity"/>
    <s v="Large Cap Mutual Funds"/>
    <n v="0.5"/>
    <n v="26"/>
    <n v="12.4"/>
  </r>
  <r>
    <s v="IDBI Liquid Fund"/>
    <n v="500"/>
    <n v="5000"/>
    <n v="0.13"/>
    <n v="763"/>
    <n v="10"/>
    <s v="Raju Sharma"/>
    <n v="5.73"/>
    <n v="1.43"/>
    <n v="0.36"/>
    <n v="0.75"/>
    <n v="1.19"/>
    <n v="2"/>
    <s v="IDBI Mutual Fund"/>
    <n v="4"/>
    <s v="Debt"/>
    <s v="Liquid Mutual Funds"/>
    <n v="5.6"/>
    <n v="4.4000000000000004"/>
    <n v="5.4"/>
  </r>
  <r>
    <s v="IDBI Long Term Value Fund"/>
    <n v="500"/>
    <n v="5000"/>
    <n v="1.67"/>
    <n v="92"/>
    <n v="5"/>
    <s v="Alok Ranjan"/>
    <n v="2.89"/>
    <n v="1.21"/>
    <n v="16.510000000000002"/>
    <n v="0.94"/>
    <n v="1.36"/>
    <n v="6"/>
    <s v="IDBI Mutual Fund"/>
    <n v="2"/>
    <s v="Equity"/>
    <s v="Value Funds"/>
    <n v="-0.1"/>
    <n v="25.4"/>
    <m/>
  </r>
  <r>
    <s v="IDBI Midcap Fund"/>
    <n v="500"/>
    <n v="5000"/>
    <n v="1.62"/>
    <n v="176"/>
    <n v="6"/>
    <s v="Alok Ranjan"/>
    <n v="2.57"/>
    <n v="-5.96"/>
    <n v="17.760000000000002"/>
    <n v="0.97"/>
    <n v="1.27"/>
    <n v="6"/>
    <s v="IDBI Mutual Fund"/>
    <n v="1"/>
    <s v="Equity"/>
    <s v="Mid Cap Mutual Funds"/>
    <n v="-2.9"/>
    <n v="25.1"/>
    <n v="7.7"/>
  </r>
  <r>
    <s v="IDBI Nifty 50 Index Fund"/>
    <n v="500"/>
    <n v="5000"/>
    <n v="0.32"/>
    <n v="188"/>
    <n v="10"/>
    <s v="Nisha Sharma"/>
    <n v="3.47"/>
    <n v="-0.9"/>
    <n v="16.78"/>
    <n v="1"/>
    <n v="1.29"/>
    <n v="6"/>
    <s v="IDBI Mutual Fund"/>
    <n v="3"/>
    <s v="Other"/>
    <s v="Index Funds"/>
    <n v="0.8"/>
    <n v="25.8"/>
    <n v="11.8"/>
  </r>
  <r>
    <s v="IDBI Nifty Next 50 Index Fund"/>
    <n v="500"/>
    <n v="5000"/>
    <n v="0.32"/>
    <n v="49"/>
    <n v="10"/>
    <s v="Nisha Sharma"/>
    <n v="1.71"/>
    <n v="-4.78"/>
    <n v="18.03"/>
    <n v="0.98"/>
    <n v="0.96"/>
    <n v="6"/>
    <s v="IDBI Mutual Fund"/>
    <n v="1"/>
    <s v="Other"/>
    <s v="Index Funds"/>
    <n v="-6.1"/>
    <n v="21.8"/>
    <n v="6.2"/>
  </r>
  <r>
    <s v="IDBI Short Term Bond Fund"/>
    <n v="500"/>
    <n v="5000"/>
    <n v="0.28000000000000003"/>
    <n v="29"/>
    <n v="10"/>
    <s v="Raju Sharma"/>
    <n v="3.22"/>
    <n v="3.82"/>
    <n v="5"/>
    <n v="-0.56999999999999995"/>
    <n v="0.92"/>
    <n v="2"/>
    <s v="IDBI Mutual Fund"/>
    <n v="4"/>
    <s v="Debt"/>
    <s v="Short Duration Funds"/>
    <n v="4.0999999999999996"/>
    <n v="9.4"/>
    <n v="6.9"/>
  </r>
  <r>
    <s v="IDBI Small Cap Fund"/>
    <n v="500"/>
    <n v="5000"/>
    <n v="1.54"/>
    <n v="143"/>
    <n v="6"/>
    <s v="Alok Ranjan"/>
    <n v="4.09"/>
    <n v="8.16"/>
    <n v="16.34"/>
    <n v="0.71"/>
    <n v="1.95"/>
    <n v="6"/>
    <s v="IDBI Mutual Fund"/>
    <n v="3"/>
    <s v="Equity"/>
    <s v="Small Cap Mutual Funds"/>
    <n v="2.1"/>
    <n v="38.5"/>
    <n v="12.6"/>
  </r>
  <r>
    <s v="IDBI Ultra Short Term Fund"/>
    <n v="500"/>
    <n v="5000"/>
    <n v="0.25"/>
    <n v="198"/>
    <n v="10"/>
    <s v="Raju Sharma"/>
    <n v="1.68"/>
    <n v="1.1399999999999999"/>
    <n v="0.72"/>
    <n v="0.15"/>
    <n v="1.29"/>
    <n v="2"/>
    <s v="IDBI Mutual Fund"/>
    <n v="3"/>
    <s v="Debt"/>
    <s v="Ultra Short Duration Funds"/>
    <n v="5.4"/>
    <n v="5.0999999999999996"/>
    <n v="5.9"/>
  </r>
  <r>
    <s v="IIFL Dynamic Bond Fund"/>
    <n v="1000"/>
    <n v="10000"/>
    <n v="0.27"/>
    <n v="494"/>
    <n v="10"/>
    <s v="Milan Mody"/>
    <n v="1.63"/>
    <n v="1.61"/>
    <n v="1.86"/>
    <n v="0.6"/>
    <n v="0.96"/>
    <n v="3"/>
    <s v="IIFL Mutual Fund"/>
    <n v="4"/>
    <s v="Debt"/>
    <s v="Dynamic Bond"/>
    <n v="3.3"/>
    <n v="6"/>
    <n v="6.5"/>
  </r>
  <r>
    <s v="IIFL Focused Equity Fund"/>
    <n v="1000"/>
    <n v="1000"/>
    <n v="0.9"/>
    <n v="3416"/>
    <n v="8"/>
    <s v="Mayur Patel"/>
    <n v="3.39"/>
    <n v="3.78"/>
    <n v="16.2"/>
    <n v="0.91"/>
    <n v="1.56"/>
    <n v="6"/>
    <s v="IIFL Mutual Fund"/>
    <n v="5"/>
    <s v="Equity"/>
    <s v="Focused Funds"/>
    <n v="4.7"/>
    <n v="29.2"/>
    <n v="18.100000000000001"/>
  </r>
  <r>
    <s v="IIFL Liquid Fund"/>
    <n v="1000"/>
    <n v="5000"/>
    <n v="0.2"/>
    <n v="601"/>
    <n v="9"/>
    <s v="Milan Mody"/>
    <n v="0.19"/>
    <n v="0.87"/>
    <n v="0.39"/>
    <n v="0.64"/>
    <n v="0.04"/>
    <n v="3"/>
    <s v="IIFL Mutual Fund"/>
    <n v="2"/>
    <s v="Debt"/>
    <s v="Liquid Mutual Funds"/>
    <n v="5.5"/>
    <n v="3.9"/>
    <n v="4.8"/>
  </r>
  <r>
    <s v="Indiabulls Arbitrage Fund"/>
    <n v="1000"/>
    <n v="500"/>
    <n v="0.57999999999999996"/>
    <n v="14"/>
    <n v="8"/>
    <s v="Sumit Bhatnagar"/>
    <n v="-1.04"/>
    <n v="0.18"/>
    <n v="0.67"/>
    <n v="0.54"/>
    <n v="-0.82"/>
    <n v="1"/>
    <s v="Indiabulls Mutual Fund"/>
    <n v="2"/>
    <s v="Hybrid"/>
    <s v="Arbitrage Mutual Funds"/>
    <n v="4.3"/>
    <n v="3.3"/>
    <n v="4.5"/>
  </r>
  <r>
    <s v="Indiabulls Bluechip Fund"/>
    <n v="500"/>
    <n v="500"/>
    <n v="1.27"/>
    <n v="91"/>
    <n v="10"/>
    <s v="Sumit Bhatnagar"/>
    <n v="2.23"/>
    <n v="-3.4"/>
    <n v="16.22"/>
    <n v="0.94"/>
    <n v="1.1000000000000001"/>
    <n v="6"/>
    <s v="Indiabulls Mutual Fund"/>
    <n v="2"/>
    <s v="Equity"/>
    <s v="Large Cap Mutual Funds"/>
    <n v="2"/>
    <n v="21.3"/>
    <n v="9.5"/>
  </r>
  <r>
    <s v="Indiabulls Dynamic Bond Fund"/>
    <n v="500"/>
    <n v="500"/>
    <n v="0.36"/>
    <n v="25"/>
    <n v="4"/>
    <s v="Karan Singh"/>
    <n v="0.99"/>
    <n v="0.95"/>
    <n v="2.04"/>
    <n v="0.84"/>
    <n v="0.57999999999999996"/>
    <n v="3"/>
    <s v="Indiabulls Mutual Fund"/>
    <n v="3"/>
    <s v="Debt"/>
    <s v="Dynamic Bond"/>
    <n v="4.2"/>
    <n v="5.2"/>
    <m/>
  </r>
  <r>
    <s v="Indiabulls Equity Hybrid Fund"/>
    <n v="500"/>
    <n v="500"/>
    <n v="1.55"/>
    <n v="32"/>
    <n v="4"/>
    <s v="Sumit Bhatnagar"/>
    <n v="2.77"/>
    <n v="0.47"/>
    <n v="12.71"/>
    <n v="0.87"/>
    <n v="1.29"/>
    <n v="5"/>
    <s v="Indiabulls Mutual Fund"/>
    <n v="3"/>
    <s v="Hybrid"/>
    <s v="Aggressive Hybrid Mutual Funds"/>
    <n v="3.2"/>
    <n v="20.5"/>
    <m/>
  </r>
  <r>
    <s v="Indiabulls Liquid Fund"/>
    <n v="500"/>
    <n v="500"/>
    <n v="0.22"/>
    <n v="212"/>
    <n v="10"/>
    <s v="Karan Singh"/>
    <n v="1.28"/>
    <n v="0.95"/>
    <n v="0.36"/>
    <n v="0.63"/>
    <n v="0.28000000000000003"/>
    <n v="2"/>
    <s v="Indiabulls Mutual Fund"/>
    <n v="1"/>
    <s v="Debt"/>
    <s v="Liquid Mutual Funds"/>
    <n v="5.4"/>
    <n v="4"/>
    <n v="5.2"/>
  </r>
  <r>
    <s v="Indiabulls Overnight Fund"/>
    <n v="500"/>
    <n v="500"/>
    <n v="0.18"/>
    <n v="42"/>
    <n v="4"/>
    <s v="Karan Singh"/>
    <n v="-1.77"/>
    <n v="0.4"/>
    <n v="0.33"/>
    <n v="0.39"/>
    <n v="-0.36"/>
    <n v="1"/>
    <s v="Indiabulls Mutual Fund"/>
    <n v="1"/>
    <s v="Debt"/>
    <s v="Overnight Mutual Funds"/>
    <n v="5.2"/>
    <n v="3.8"/>
    <m/>
  </r>
  <r>
    <s v="Indiabulls Short Term Fund"/>
    <n v="500"/>
    <n v="500"/>
    <n v="0.38"/>
    <n v="25"/>
    <n v="10"/>
    <s v="Karan Singh"/>
    <n v="1.1499999999999999"/>
    <n v="4.88"/>
    <n v="1.55"/>
    <n v="2.83"/>
    <n v="0.7"/>
    <n v="3"/>
    <s v="Indiabulls Mutual Fund"/>
    <n v="2"/>
    <s v="Debt"/>
    <s v="Short Duration Funds"/>
    <n v="4.4000000000000004"/>
    <n v="5.0999999999999996"/>
    <n v="5.9"/>
  </r>
  <r>
    <s v="Indiabulls Tax Savings Fund"/>
    <n v="500"/>
    <n v="500"/>
    <n v="0.5"/>
    <n v="36"/>
    <n v="5"/>
    <s v="Sumit Bhatnagar"/>
    <n v="2.52"/>
    <n v="-2.36"/>
    <n v="15.09"/>
    <n v="0.88"/>
    <n v="1.21"/>
    <n v="6"/>
    <s v="Indiabulls Mutual Fund"/>
    <n v="2"/>
    <s v="Equity"/>
    <s v="ELSS Mutual Funds"/>
    <n v="1"/>
    <n v="22.3"/>
    <n v="7.8"/>
  </r>
  <r>
    <s v="Indiabulls Value Fund"/>
    <n v="500"/>
    <n v="500"/>
    <n v="0.5"/>
    <n v="9.7100000000000009"/>
    <n v="8"/>
    <s v="Sumit Bhatnagar"/>
    <n v="2.9"/>
    <n v="-0.23"/>
    <n v="16.23"/>
    <n v="0.92"/>
    <n v="1.27"/>
    <n v="6"/>
    <s v="Indiabulls Mutual Fund"/>
    <n v="2"/>
    <s v="Equity"/>
    <s v="Value Funds"/>
    <n v="-0.2"/>
    <n v="25.6"/>
    <n v="6.3"/>
  </r>
  <r>
    <s v="Invesco India â€“ Invesco GEI Fund"/>
    <n v="500"/>
    <n v="1000"/>
    <n v="0.73"/>
    <n v="12"/>
    <n v="9"/>
    <s v="Amit Nigam"/>
    <n v="1.58"/>
    <s v="-"/>
    <n v="17.739999999999998"/>
    <s v="-"/>
    <n v="1.01"/>
    <n v="6"/>
    <s v="Invesco Mutual Fund"/>
    <n v="0"/>
    <s v="Other"/>
    <s v="FoFs Overseas"/>
    <n v="9.5"/>
    <n v="24.4"/>
    <n v="9.5"/>
  </r>
  <r>
    <s v="Invesco India Arbitrage Fund"/>
    <n v="500"/>
    <n v="1000"/>
    <n v="0.38"/>
    <n v="3184"/>
    <n v="10"/>
    <s v="Deepak Gupta"/>
    <n v="2.16"/>
    <n v="1.77"/>
    <n v="0.71"/>
    <n v="0.53"/>
    <n v="1.5"/>
    <n v="1"/>
    <s v="Invesco Mutual Fund"/>
    <n v="5"/>
    <s v="Hybrid"/>
    <s v="Arbitrage Mutual Funds"/>
    <n v="6.4"/>
    <n v="5"/>
    <n v="5.6"/>
  </r>
  <r>
    <s v="Invesco India Banking &amp; PSU Debt Fund"/>
    <n v="1000"/>
    <n v="1000"/>
    <n v="0.28000000000000003"/>
    <n v="131"/>
    <n v="10"/>
    <s v="Vikas Garg"/>
    <n v="0.33"/>
    <n v="4.59"/>
    <n v="3.47"/>
    <n v="2.79"/>
    <n v="0.25"/>
    <n v="3"/>
    <s v="Invesco Mutual Fund"/>
    <n v="1"/>
    <s v="Debt"/>
    <s v="Banking and PSU Mutual Funds"/>
    <n v="2.2999999999999998"/>
    <n v="5.8"/>
    <n v="6.4"/>
  </r>
  <r>
    <s v="Invesco India Contra Fund"/>
    <n v="500"/>
    <n v="1000"/>
    <n v="0.62"/>
    <n v="9347"/>
    <n v="10"/>
    <s v="Taher Badshah"/>
    <n v="3.5"/>
    <n v="2.27"/>
    <n v="16.239999999999998"/>
    <n v="0.94"/>
    <n v="1.45"/>
    <n v="6"/>
    <s v="Invesco Mutual Fund"/>
    <n v="4"/>
    <s v="Equity"/>
    <s v="Contra Funds"/>
    <n v="2.8"/>
    <n v="27.6"/>
    <n v="12.3"/>
  </r>
  <r>
    <s v="Invesco India Corporate Bond Fund"/>
    <n v="100"/>
    <n v="1000"/>
    <n v="0.28000000000000003"/>
    <n v="2065"/>
    <n v="10"/>
    <s v="Vikas Garg"/>
    <n v="1.56"/>
    <n v="1.51"/>
    <n v="1.86"/>
    <n v="0.67"/>
    <n v="0.91"/>
    <n v="2"/>
    <s v="Invesco Mutual Fund"/>
    <n v="3"/>
    <s v="Debt"/>
    <s v="Corporate Bond Mutual Funds"/>
    <n v="3.7"/>
    <n v="6.4"/>
    <n v="6.9"/>
  </r>
  <r>
    <s v="Invesco India Credit Risk Fund"/>
    <n v="1000"/>
    <n v="1000"/>
    <n v="0.28000000000000003"/>
    <n v="129"/>
    <n v="9"/>
    <s v="Vikas Garg"/>
    <n v="2.95"/>
    <n v="9.17"/>
    <n v="2.89"/>
    <n v="4.76"/>
    <n v="0.97"/>
    <n v="2"/>
    <s v="Invesco Mutual Fund"/>
    <n v="2"/>
    <s v="Debt"/>
    <s v="Credit Risk Funds"/>
    <n v="4.4000000000000004"/>
    <n v="6"/>
    <n v="3.5"/>
  </r>
  <r>
    <s v="Invesco India Dynamic Equity Fund"/>
    <n v="500"/>
    <n v="1000"/>
    <n v="0.95"/>
    <n v="612"/>
    <n v="10"/>
    <s v="Amit Ganatra"/>
    <n v="2.84"/>
    <n v="0.76"/>
    <n v="9.1999999999999993"/>
    <n v="0.59"/>
    <n v="1.27"/>
    <n v="6"/>
    <s v="Invesco Mutual Fund"/>
    <n v="2"/>
    <s v="Hybrid"/>
    <s v="Dynamic Asset Allocation or Balanced Advantage"/>
    <n v="3.9"/>
    <n v="15.4"/>
    <n v="7.4"/>
  </r>
  <r>
    <s v="Invesco India Equity &amp; Bond Fund"/>
    <n v="500"/>
    <n v="1000"/>
    <n v="0.76"/>
    <n v="378"/>
    <n v="5"/>
    <s v="Dhimant Kothari"/>
    <n v="2.71"/>
    <n v="1.1000000000000001"/>
    <n v="10.94"/>
    <n v="0.71"/>
    <n v="1.29"/>
    <n v="6"/>
    <s v="Invesco Mutual Fund"/>
    <n v="2"/>
    <s v="Hybrid"/>
    <s v="Aggressive Hybrid Mutual Funds"/>
    <n v="1.5"/>
    <n v="17.399999999999999"/>
    <m/>
  </r>
  <r>
    <s v="Invesco India Equity Savings Fund"/>
    <n v="500"/>
    <n v="1000"/>
    <n v="0.73"/>
    <n v="132"/>
    <n v="4"/>
    <s v="Dhimant Kothari"/>
    <n v="1.9"/>
    <n v="0.17"/>
    <n v="5.58"/>
    <n v="0.82"/>
    <n v="1.08"/>
    <n v="4"/>
    <s v="Invesco Mutual Fund"/>
    <n v="2"/>
    <s v="Hybrid"/>
    <s v="Equity Savings Mutual Funds"/>
    <n v="1.2"/>
    <n v="9.6"/>
    <m/>
  </r>
  <r>
    <s v="Invesco India Financial Services Fund"/>
    <n v="100"/>
    <n v="1000"/>
    <n v="1.08"/>
    <n v="472"/>
    <n v="10"/>
    <s v="Hiten Jain"/>
    <n v="2.16"/>
    <n v="1.74"/>
    <n v="21.36"/>
    <n v="0.8"/>
    <n v="1"/>
    <n v="6"/>
    <s v="Invesco Mutual Fund"/>
    <n v="3"/>
    <s v="Equity"/>
    <s v="Sectoral / Thematic Mutual Funds"/>
    <n v="5.9"/>
    <n v="22.6"/>
    <n v="10.9"/>
  </r>
  <r>
    <s v="Invesco India Gilt Fund"/>
    <n v="100"/>
    <n v="1000"/>
    <n v="0.48"/>
    <n v="22"/>
    <n v="10"/>
    <s v="Vikas Garg"/>
    <n v="0.08"/>
    <n v="-0.44"/>
    <n v="2.5099999999999998"/>
    <n v="0.54"/>
    <n v="0.06"/>
    <n v="2"/>
    <s v="Invesco Mutual Fund"/>
    <n v="1"/>
    <s v="Debt"/>
    <s v="Gilt Mutual Funds"/>
    <n v="4.9000000000000004"/>
    <n v="4.2"/>
    <n v="6.7"/>
  </r>
  <r>
    <s v="ITI Arbitrage Fund"/>
    <n v="500"/>
    <n v="5000"/>
    <n v="0.22"/>
    <n v="7.04"/>
    <n v="4"/>
    <s v="Vikrant Mehta"/>
    <n v="-1.02"/>
    <n v="-0.04"/>
    <n v="0.65"/>
    <n v="0.31"/>
    <n v="-0.71"/>
    <n v="1"/>
    <s v="ITI Mutual Fund"/>
    <n v="1"/>
    <s v="Hybrid"/>
    <s v="Arbitrage Mutual Funds"/>
    <n v="3.9"/>
    <n v="3.3"/>
    <m/>
  </r>
  <r>
    <s v="ITI Balanced Advantage Fund"/>
    <n v="500"/>
    <n v="5000"/>
    <n v="0.35"/>
    <n v="452"/>
    <n v="3"/>
    <s v="Dhimant Shah"/>
    <n v="2.56"/>
    <n v="-0.95"/>
    <n v="11.13"/>
    <n v="0.59"/>
    <n v="0.88"/>
    <n v="6"/>
    <s v="ITI Mutual Fund"/>
    <n v="1"/>
    <s v="Hybrid"/>
    <s v="Dynamic Asset Allocation or Balanced Advantage"/>
    <n v="-0.2"/>
    <n v="12.3"/>
    <m/>
  </r>
  <r>
    <s v="ITI Banking &amp; PSU Debt Fund"/>
    <n v="500"/>
    <n v="5000"/>
    <n v="0.15"/>
    <n v="27"/>
    <n v="2"/>
    <s v="Vikrant Mehta"/>
    <s v="-"/>
    <s v="-"/>
    <s v="-"/>
    <s v="-"/>
    <s v="-"/>
    <n v="2"/>
    <s v="ITI Mutual Fund"/>
    <n v="5"/>
    <s v="Debt"/>
    <s v="Banking and PSU Mutual Funds"/>
    <n v="5.4"/>
    <m/>
    <m/>
  </r>
  <r>
    <s v="ITI Dynamic Bond Fund"/>
    <n v="500"/>
    <n v="5000"/>
    <n v="0.14000000000000001"/>
    <n v="57"/>
    <n v="2"/>
    <s v="Vikrant Mehta"/>
    <s v="-"/>
    <s v="-"/>
    <s v="-"/>
    <s v="-"/>
    <s v="-"/>
    <n v="2"/>
    <s v="ITI Mutual Fund"/>
    <n v="5"/>
    <s v="Debt"/>
    <s v="Dynamic Bond"/>
    <n v="5.7"/>
    <m/>
    <m/>
  </r>
  <r>
    <s v="ITI Liquid Fund"/>
    <n v="500"/>
    <n v="5000"/>
    <n v="0.09"/>
    <n v="31"/>
    <n v="4"/>
    <s v="Vikrant Mehta"/>
    <n v="-0.02"/>
    <n v="0.63"/>
    <n v="0.37"/>
    <n v="0.47"/>
    <n v="0"/>
    <n v="1"/>
    <s v="ITI Mutual Fund"/>
    <n v="2"/>
    <s v="Debt"/>
    <s v="Liquid Mutual Funds"/>
    <n v="5.5"/>
    <n v="3.9"/>
    <m/>
  </r>
  <r>
    <s v="ITI Long Term Equity Fund"/>
    <n v="500"/>
    <n v="500"/>
    <n v="0.44"/>
    <n v="156"/>
    <n v="3"/>
    <s v="Dhimant Shah"/>
    <n v="3.29"/>
    <n v="0.26"/>
    <n v="15.59"/>
    <n v="0.86"/>
    <n v="1.31"/>
    <n v="6"/>
    <s v="ITI Mutual Fund"/>
    <n v="2"/>
    <s v="Equity"/>
    <s v="ELSS Mutual Funds"/>
    <n v="5.6"/>
    <n v="23.7"/>
    <m/>
  </r>
  <r>
    <s v="ITI Overnight Fund"/>
    <n v="500"/>
    <n v="5000"/>
    <n v="0.08"/>
    <n v="26"/>
    <n v="3"/>
    <s v="Vikrant Mehta"/>
    <n v="-1.1100000000000001"/>
    <n v="0.48"/>
    <n v="0.34"/>
    <n v="0.42"/>
    <n v="-0.22"/>
    <n v="1"/>
    <s v="ITI Mutual Fund"/>
    <n v="1"/>
    <s v="Debt"/>
    <s v="Overnight Mutual Funds"/>
    <n v="5.2"/>
    <n v="3.8"/>
    <m/>
  </r>
  <r>
    <s v="ITI Small Cap Fund"/>
    <n v="500"/>
    <n v="5000"/>
    <n v="0.44"/>
    <n v="1015"/>
    <n v="3"/>
    <s v="Dhimant Shah"/>
    <n v="2.41"/>
    <n v="-4.78"/>
    <n v="21.23"/>
    <n v="0.95"/>
    <n v="1.27"/>
    <n v="6"/>
    <s v="ITI Mutual Fund"/>
    <n v="1"/>
    <s v="Equity"/>
    <s v="Small Cap Mutual Funds"/>
    <n v="6.5"/>
    <n v="29.4"/>
    <m/>
  </r>
  <r>
    <s v="ITI Ultra Short Duration Fund"/>
    <n v="500"/>
    <n v="5000"/>
    <n v="0.1"/>
    <n v="119"/>
    <n v="2"/>
    <s v="Vikrant Mehta"/>
    <s v="-"/>
    <s v="-"/>
    <s v="-"/>
    <s v="-"/>
    <s v="-"/>
    <n v="2"/>
    <s v="ITI Mutual Fund"/>
    <n v="2"/>
    <s v="Debt"/>
    <s v="Ultra Short Duration Funds"/>
    <n v="5.3"/>
    <m/>
    <m/>
  </r>
  <r>
    <s v="JM Arbitrage Fund"/>
    <n v="500"/>
    <n v="5000"/>
    <n v="0.36"/>
    <n v="60"/>
    <n v="10"/>
    <s v="Asit Bhandarkar"/>
    <n v="-0.31"/>
    <n v="0.56000000000000005"/>
    <n v="0.72"/>
    <n v="0.55000000000000004"/>
    <n v="-0.23"/>
    <n v="1"/>
    <s v="JM Financial Mutual Fund"/>
    <n v="1"/>
    <s v="Hybrid"/>
    <s v="Arbitrage Mutual Funds"/>
    <n v="5.4"/>
    <n v="3.7"/>
    <n v="4.5"/>
  </r>
  <r>
    <s v="JM Dynamic Bond Fund"/>
    <n v="1000"/>
    <n v="5000"/>
    <n v="0.63"/>
    <n v="43"/>
    <n v="10"/>
    <s v="Gurvinder Singh Wasan"/>
    <n v="1.64"/>
    <n v="1.34"/>
    <n v="1.61"/>
    <n v="0.65"/>
    <n v="0.95"/>
    <n v="2"/>
    <s v="JM Financial Mutual Fund"/>
    <n v="4"/>
    <s v="Debt"/>
    <s v="Dynamic Bond"/>
    <n v="4.8"/>
    <n v="6"/>
    <n v="6.1"/>
  </r>
  <r>
    <s v="JM Equity Hybrid Fund"/>
    <n v="500"/>
    <n v="5000"/>
    <n v="1.37"/>
    <n v="11"/>
    <n v="10"/>
    <s v="Asit Bhandarkar"/>
    <n v="3.79"/>
    <n v="5.95"/>
    <n v="17.440000000000001"/>
    <n v="1"/>
    <n v="1.4"/>
    <n v="6"/>
    <s v="JM Financial Mutual Fund"/>
    <n v="4"/>
    <s v="Hybrid"/>
    <s v="Aggressive Hybrid Mutual Funds"/>
    <n v="8"/>
    <n v="29.5"/>
    <n v="11.2"/>
  </r>
  <r>
    <s v="JM Flexicap Fund"/>
    <n v="500"/>
    <n v="5000"/>
    <n v="1.62"/>
    <n v="255"/>
    <n v="10"/>
    <s v="Gurvinder Singh Wasan"/>
    <n v="3.67"/>
    <n v="1.75"/>
    <n v="16.28"/>
    <n v="0.9"/>
    <n v="1.4"/>
    <n v="6"/>
    <s v="JM Financial Mutual Fund"/>
    <n v="4"/>
    <s v="Equity"/>
    <s v="Flexi Cap Funds"/>
    <n v="5.2"/>
    <n v="30.7"/>
    <n v="13.8"/>
  </r>
  <r>
    <s v="JM Focused Fund"/>
    <n v="500"/>
    <n v="5000"/>
    <n v="1.58"/>
    <n v="42"/>
    <n v="10"/>
    <s v="Gurvinder Singh Wasan"/>
    <n v="2.5"/>
    <n v="-2.98"/>
    <n v="16.71"/>
    <n v="0.93"/>
    <n v="1.08"/>
    <n v="6"/>
    <s v="JM Financial Mutual Fund"/>
    <n v="1"/>
    <s v="Equity"/>
    <s v="Focused Funds"/>
    <n v="3.1"/>
    <n v="19.399999999999999"/>
    <n v="8.6"/>
  </r>
  <r>
    <s v="JM Large Cap Fund"/>
    <n v="500"/>
    <n v="5000"/>
    <n v="1.8"/>
    <n v="44"/>
    <n v="10"/>
    <s v="Gurvinder Singh Wasan"/>
    <n v="2.94"/>
    <n v="-0.69"/>
    <n v="12.03"/>
    <n v="0.67"/>
    <n v="1.2"/>
    <n v="6"/>
    <s v="JM Financial Mutual Fund"/>
    <n v="5"/>
    <s v="Equity"/>
    <s v="Large Cap Mutual Funds"/>
    <n v="1.8"/>
    <n v="18.3"/>
    <n v="10.4"/>
  </r>
  <r>
    <s v="JM Liquid Fund"/>
    <n v="1000"/>
    <n v="5000"/>
    <n v="0.15"/>
    <n v="1426"/>
    <n v="10"/>
    <s v="Shalini Tibrewala"/>
    <n v="3.82"/>
    <n v="1.22"/>
    <n v="0.36"/>
    <n v="0.68"/>
    <n v="0.86"/>
    <n v="2"/>
    <s v="JM Financial Mutual Fund"/>
    <n v="4"/>
    <s v="Debt"/>
    <s v="Liquid Mutual Funds"/>
    <n v="5.6"/>
    <n v="4.2"/>
    <n v="5.3"/>
  </r>
  <r>
    <s v="JM Low Duration Fund"/>
    <n v="1000"/>
    <n v="5000"/>
    <n v="0.34"/>
    <n v="151"/>
    <n v="10"/>
    <s v="Shalini Tibrewala"/>
    <n v="12.57"/>
    <n v="9.0299999999999994"/>
    <n v="11.61"/>
    <n v="1.19"/>
    <n v="0.64"/>
    <n v="2"/>
    <s v="JM Financial Mutual Fund"/>
    <n v="4"/>
    <s v="Debt"/>
    <s v="Low Duration Funds"/>
    <n v="5.0999999999999996"/>
    <n v="11.5"/>
    <n v="5.3"/>
  </r>
  <r>
    <s v="JM Medium to Long Duration Fund"/>
    <n v="1000"/>
    <n v="5000"/>
    <n v="0.48"/>
    <n v="19"/>
    <n v="10"/>
    <s v="Gurvinder Singh Wasan"/>
    <n v="0.28000000000000003"/>
    <n v="0.23"/>
    <n v="3.03"/>
    <n v="1.39"/>
    <n v="0.2"/>
    <n v="3"/>
    <s v="JM Financial Mutual Fund"/>
    <n v="2"/>
    <s v="Debt"/>
    <s v="Medium to Long Duration Funds"/>
    <n v="2.5"/>
    <n v="4.8"/>
    <n v="3.1"/>
  </r>
  <r>
    <s v="JM Tax Gain Fund"/>
    <n v="500"/>
    <n v="500"/>
    <n v="1.45"/>
    <n v="70"/>
    <n v="10"/>
    <s v="Gurvinder Singh Wasan"/>
    <n v="2.94"/>
    <n v="0.39"/>
    <n v="16.559999999999999"/>
    <n v="0.93"/>
    <n v="1.35"/>
    <n v="6"/>
    <s v="JM Financial Mutual Fund"/>
    <n v="3"/>
    <s v="Equity"/>
    <s v="ELSS Mutual Funds"/>
    <n v="0.9"/>
    <n v="26.2"/>
    <n v="12.8"/>
  </r>
  <r>
    <s v="JM Value Fund"/>
    <n v="500"/>
    <n v="5000"/>
    <n v="1.87"/>
    <n v="163"/>
    <n v="10"/>
    <s v="Gurvinder Singh Wasan"/>
    <n v="3.94"/>
    <n v="4.5599999999999996"/>
    <n v="16.13"/>
    <n v="0.89"/>
    <n v="1.53"/>
    <n v="6"/>
    <s v="JM Financial Mutual Fund"/>
    <n v="2"/>
    <s v="Equity"/>
    <s v="Value Funds"/>
    <n v="7.7"/>
    <n v="28.9"/>
    <n v="12.4"/>
  </r>
  <r>
    <s v="Kotak Balanced Advantage Fund"/>
    <n v="1000"/>
    <n v="1000"/>
    <n v="0.48"/>
    <n v="14279"/>
    <n v="5"/>
    <s v="Harish Krishnan"/>
    <n v="4.01"/>
    <n v="3.56"/>
    <n v="8.76"/>
    <n v="0.56000000000000005"/>
    <n v="1.59"/>
    <n v="6"/>
    <s v="Kotak Mahindra Mutual Fund"/>
    <n v="3"/>
    <s v="Hybrid"/>
    <s v="Dynamic Asset Allocation or Balanced Advantage"/>
    <n v="5.5"/>
    <n v="18.100000000000001"/>
    <m/>
  </r>
  <r>
    <s v="Kotak Banking and PSU Debt Fund"/>
    <n v="1000"/>
    <n v="5000"/>
    <n v="0.37"/>
    <n v="5256"/>
    <n v="10"/>
    <s v="Deepak Agrawal"/>
    <n v="1.87"/>
    <n v="4.03"/>
    <n v="2.0299999999999998"/>
    <n v="1.45"/>
    <n v="1.03"/>
    <n v="3"/>
    <s v="Kotak Mahindra Mutual Fund"/>
    <n v="3"/>
    <s v="Debt"/>
    <s v="Banking and PSU Mutual Funds"/>
    <n v="4.7"/>
    <n v="6.7"/>
    <n v="7.5"/>
  </r>
  <r>
    <s v="Kotak Bluechip Fund"/>
    <n v="100"/>
    <n v="1000"/>
    <n v="0.64"/>
    <n v="5259"/>
    <n v="10"/>
    <s v="Harish Krishnan"/>
    <n v="3.48"/>
    <n v="1.75"/>
    <n v="15.3"/>
    <n v="0.91"/>
    <n v="1.45"/>
    <n v="6"/>
    <s v="Kotak Mahindra Mutual Fund"/>
    <n v="5"/>
    <s v="Equity"/>
    <s v="Large Cap Mutual Funds"/>
    <n v="3.3"/>
    <n v="26.8"/>
    <n v="12.6"/>
  </r>
  <r>
    <s v="Kotak Bond â€“ Short Term Fund"/>
    <n v="1000"/>
    <n v="5000"/>
    <n v="0.36"/>
    <n v="12203"/>
    <n v="10"/>
    <s v="Deepak Agrawal"/>
    <n v="1.89"/>
    <n v="4.7300000000000004"/>
    <n v="1.76"/>
    <n v="2.06"/>
    <n v="1.1200000000000001"/>
    <n v="3"/>
    <s v="Kotak Mahindra Mutual Fund"/>
    <n v="3"/>
    <s v="Debt"/>
    <s v="Short Duration Funds"/>
    <n v="4.4000000000000004"/>
    <n v="6.5"/>
    <n v="7.2"/>
  </r>
  <r>
    <s v="Kotak Bond Fund"/>
    <n v="1000"/>
    <n v="5000"/>
    <n v="0.63"/>
    <n v="1584"/>
    <n v="10"/>
    <s v="Abhishek Bisen"/>
    <n v="0.72"/>
    <n v="1.47"/>
    <n v="3.19"/>
    <n v="1.57"/>
    <n v="0.6"/>
    <n v="2"/>
    <s v="Kotak Mahindra Mutual Fund"/>
    <n v="3"/>
    <s v="Debt"/>
    <s v="Medium to Long Duration Funds"/>
    <n v="4.0999999999999996"/>
    <n v="6.4"/>
    <n v="7.7"/>
  </r>
  <r>
    <s v="Kotak Corporate Bond Fund"/>
    <n v="1000"/>
    <n v="5000"/>
    <n v="0.32"/>
    <n v="8880"/>
    <n v="10"/>
    <s v="Deepak Agrawal"/>
    <n v="2.25"/>
    <n v="1.73"/>
    <n v="1.54"/>
    <n v="0.59"/>
    <n v="1.23"/>
    <n v="2"/>
    <s v="Kotak Mahindra Mutual Fund"/>
    <n v="3"/>
    <s v="Debt"/>
    <s v="Corporate Bond Mutual Funds"/>
    <n v="4.5"/>
    <n v="6.4"/>
    <n v="7.1"/>
  </r>
  <r>
    <s v="Kotak Credit Risk Fund"/>
    <n v="1000"/>
    <n v="5000"/>
    <n v="0.74"/>
    <n v="1204"/>
    <n v="10"/>
    <s v="Deepak Agrawal"/>
    <n v="0.42"/>
    <n v="0.82"/>
    <n v="2.92"/>
    <n v="-0.4"/>
    <n v="0.47"/>
    <n v="5"/>
    <s v="Kotak Mahindra Mutual Fund"/>
    <n v="2"/>
    <s v="Debt"/>
    <s v="Credit Risk Funds"/>
    <n v="1.6"/>
    <n v="5.9"/>
    <n v="6.4"/>
  </r>
  <r>
    <s v="Kotak Debt Hybrid Fund"/>
    <n v="1000"/>
    <n v="5000"/>
    <n v="0.44"/>
    <n v="1650"/>
    <n v="10"/>
    <s v="Devender Singhal"/>
    <n v="3.44"/>
    <n v="4.79"/>
    <n v="4.7300000000000004"/>
    <n v="0.7"/>
    <n v="2.06"/>
    <n v="4"/>
    <s v="Kotak Mahindra Mutual Fund"/>
    <n v="5"/>
    <s v="Hybrid"/>
    <s v="Conservative Hybrid Mutual Funds"/>
    <n v="6.1"/>
    <n v="14.3"/>
    <n v="10"/>
  </r>
  <r>
    <s v="Kotak Dynamic Bond Fund"/>
    <n v="1000"/>
    <n v="5000"/>
    <n v="0.4"/>
    <n v="1992"/>
    <n v="10"/>
    <s v="Deepak Agrawal"/>
    <n v="1"/>
    <n v="1.66"/>
    <n v="2.95"/>
    <n v="1.32"/>
    <n v="0.69"/>
    <n v="3"/>
    <s v="Kotak Mahindra Mutual Fund"/>
    <n v="4"/>
    <s v="Debt"/>
    <s v="Dynamic Bond"/>
    <n v="3.9"/>
    <n v="6.6"/>
    <n v="7.8"/>
  </r>
  <r>
    <s v="Kotak Emerging Equity Fund"/>
    <n v="100"/>
    <n v="100"/>
    <n v="0.49"/>
    <n v="23962"/>
    <n v="10"/>
    <s v="Pankaj Tibrewal"/>
    <n v="3.73"/>
    <n v="3.18"/>
    <n v="16.420000000000002"/>
    <n v="0.9"/>
    <n v="1.82"/>
    <n v="6"/>
    <s v="Kotak Mahindra Mutual Fund"/>
    <n v="4"/>
    <s v="Equity"/>
    <s v="Mid Cap Mutual Funds"/>
    <n v="6.6"/>
    <n v="34"/>
    <n v="15.2"/>
  </r>
  <r>
    <s v="Kotak Equity Arbitrage Fund"/>
    <n v="1000"/>
    <n v="5000"/>
    <n v="0.43"/>
    <n v="21917"/>
    <n v="10"/>
    <s v="Hiten Shah"/>
    <n v="1.46"/>
    <n v="1.66"/>
    <n v="0.75"/>
    <n v="0.54"/>
    <n v="1.26"/>
    <n v="1"/>
    <s v="Kotak Mahindra Mutual Fund"/>
    <n v="4"/>
    <s v="Hybrid"/>
    <s v="Arbitrage Mutual Funds"/>
    <n v="5.8"/>
    <n v="4.9000000000000004"/>
    <n v="5.6"/>
  </r>
  <r>
    <s v="Kotak Equity Hybrid Fund"/>
    <n v="1000"/>
    <n v="5000"/>
    <n v="0.57999999999999996"/>
    <n v="3269"/>
    <n v="8"/>
    <s v="Pankaj Tibrewal"/>
    <n v="3.89"/>
    <n v="7.32"/>
    <n v="11.76"/>
    <n v="0.79"/>
    <n v="1.86"/>
    <n v="6"/>
    <s v="Kotak Mahindra Mutual Fund"/>
    <n v="0"/>
    <s v="Hybrid"/>
    <s v="Aggressive Hybrid Mutual Funds"/>
    <n v="5"/>
    <n v="26.9"/>
    <n v="12.8"/>
  </r>
  <r>
    <s v="Kotak Equity Opportunities â€“ Direct Growth"/>
    <n v="500"/>
    <n v="500"/>
    <n v="0.6"/>
    <n v="11608"/>
    <n v="10"/>
    <s v="Harsha Upadhyaya"/>
    <n v="3.43"/>
    <n v="4.72"/>
    <n v="14.62"/>
    <n v="0.84"/>
    <n v="1.64"/>
    <n v="6"/>
    <s v="Kotak Mahindra Mutual Fund"/>
    <n v="4"/>
    <s v="Equity"/>
    <s v="Large &amp; Mid Cap Funds"/>
    <n v="6.2"/>
    <n v="28.8"/>
    <n v="13.9"/>
  </r>
  <r>
    <s v="Kotak Equity Savings Fund"/>
    <n v="1000"/>
    <n v="5000"/>
    <n v="1.02"/>
    <n v="2097"/>
    <n v="8"/>
    <s v="Devender Singhal"/>
    <n v="4.22"/>
    <n v="4.5"/>
    <n v="5.64"/>
    <n v="0.79"/>
    <n v="1.8"/>
    <n v="4"/>
    <s v="Kotak Mahindra Mutual Fund"/>
    <n v="4"/>
    <s v="Hybrid"/>
    <s v="Equity Savings Mutual Funds"/>
    <n v="6.6"/>
    <n v="14.4"/>
    <n v="9.1999999999999993"/>
  </r>
  <r>
    <s v="Kotak Flexi Cap Fund"/>
    <n v="500"/>
    <n v="5000"/>
    <n v="0.68"/>
    <n v="35775"/>
    <n v="10"/>
    <s v="Harsha Upadhyaya"/>
    <n v="2.7"/>
    <n v="0.11"/>
    <n v="15.22"/>
    <n v="0.88"/>
    <n v="1.37"/>
    <n v="6"/>
    <s v="Kotak Mahindra Mutual Fund"/>
    <n v="3"/>
    <s v="Equity"/>
    <s v="Flexi Cap Funds"/>
    <n v="3.8"/>
    <n v="25"/>
    <n v="11.7"/>
  </r>
  <r>
    <s v="Kotak Floating Rate Fund"/>
    <n v="1000"/>
    <n v="5000"/>
    <n v="0.22"/>
    <n v="4796"/>
    <n v="4"/>
    <s v="Deepak Agrawal"/>
    <n v="1.86"/>
    <n v="3.79"/>
    <n v="2.35"/>
    <n v="1.03"/>
    <n v="1.02"/>
    <n v="2"/>
    <s v="Kotak Mahindra Mutual Fund"/>
    <n v="2"/>
    <s v="Debt"/>
    <s v="Floater Mutual Funds"/>
    <n v="4.5999999999999996"/>
    <n v="7"/>
    <m/>
  </r>
  <r>
    <s v="Kotak Focused Equity Fund"/>
    <n v="1000"/>
    <n v="5000"/>
    <n v="0.51"/>
    <n v="2447"/>
    <n v="4"/>
    <s v="Shibani Kurian"/>
    <n v="2.85"/>
    <n v="1.39"/>
    <n v="15.69"/>
    <n v="0.9"/>
    <n v="1.44"/>
    <n v="6"/>
    <s v="Kotak Mahindra Mutual Fund"/>
    <n v="3"/>
    <s v="Equity"/>
    <s v="Focused Funds"/>
    <n v="0.5"/>
    <n v="26.6"/>
    <m/>
  </r>
  <r>
    <s v="Kotak Gilt â€“ Invest Plan â€“ Direct Growth"/>
    <n v="1000"/>
    <n v="5000"/>
    <n v="0.41"/>
    <n v="1699"/>
    <n v="10"/>
    <s v="Abhishek Bisen"/>
    <n v="0.81"/>
    <n v="1.3"/>
    <n v="3.24"/>
    <n v="0.7"/>
    <n v="0.64"/>
    <n v="2"/>
    <s v="Kotak Mahindra Mutual Fund"/>
    <n v="4"/>
    <s v="Debt"/>
    <s v="Gilt Mutual Funds"/>
    <n v="5.2"/>
    <n v="6.3"/>
    <n v="8.4"/>
  </r>
  <r>
    <s v="Kotak Gilt Invest â€“ PF &amp; Trust Plan â€“ Direct Growth"/>
    <n v="1000"/>
    <n v="5000"/>
    <n v="0.41"/>
    <n v="1699"/>
    <n v="10"/>
    <s v="Abhishek Bisen"/>
    <n v="0.81"/>
    <n v="1.3"/>
    <n v="3.23"/>
    <n v="0.7"/>
    <n v="0.64"/>
    <n v="2"/>
    <s v="Kotak Mahindra Mutual Fund"/>
    <n v="4"/>
    <s v="Debt"/>
    <s v="Gilt Mutual Funds"/>
    <n v="5.2"/>
    <n v="6.3"/>
    <n v="8.4"/>
  </r>
  <r>
    <s v="Kotak Gold Fund"/>
    <n v="1000"/>
    <n v="5000"/>
    <n v="0.18"/>
    <n v="1406"/>
    <n v="10"/>
    <s v="Abhishek Bisen"/>
    <n v="1.08"/>
    <n v="-0.32"/>
    <n v="13.51"/>
    <n v="0.97"/>
    <n v="0.48"/>
    <n v="5"/>
    <s v="Kotak Mahindra Mutual Fund"/>
    <n v="3"/>
    <s v="Other"/>
    <s v="FoFs Domestic"/>
    <n v="14.2"/>
    <n v="12.2"/>
    <n v="13.7"/>
  </r>
  <r>
    <s v="Kotak India EQ Contra Fund"/>
    <n v="1000"/>
    <n v="5000"/>
    <n v="0.81"/>
    <n v="1440"/>
    <n v="10"/>
    <s v="Shibani Kurian"/>
    <n v="3.35"/>
    <n v="4.24"/>
    <n v="15.95"/>
    <n v="0.92"/>
    <n v="1.57"/>
    <n v="6"/>
    <s v="Kotak Mahindra Mutual Fund"/>
    <n v="4"/>
    <s v="Equity"/>
    <s v="Contra Funds"/>
    <n v="7.3"/>
    <n v="29.7"/>
    <n v="14.2"/>
  </r>
  <r>
    <s v="Kotak India Growth Fund"/>
    <n v="0"/>
    <n v="5000"/>
    <n v="0.34"/>
    <n v="90"/>
    <n v="5"/>
    <s v="Devender Singhal"/>
    <n v="3.71"/>
    <n v="7.67"/>
    <n v="17.23"/>
    <n v="0.95"/>
    <n v="1.75"/>
    <n v="6"/>
    <s v="Kotak Mahindra Mutual Fund"/>
    <n v="0"/>
    <s v="Equity"/>
    <s v="Multi Cap Funds"/>
    <n v="4.8"/>
    <n v="35.5"/>
    <n v="15.6"/>
  </r>
  <r>
    <s v="Kotak Infrastructure &amp; Ecoc. Reform-SP-DirGrowth"/>
    <n v="1000"/>
    <n v="5000"/>
    <n v="1"/>
    <n v="727"/>
    <n v="10"/>
    <s v="Harish Krishnan"/>
    <n v="4.55"/>
    <n v="14.15"/>
    <n v="16.649999999999999"/>
    <n v="0.6"/>
    <n v="2"/>
    <n v="6"/>
    <s v="Kotak Mahindra Mutual Fund"/>
    <n v="4"/>
    <s v="Equity"/>
    <s v="Sectoral / Thematic Mutual Funds"/>
    <n v="23.2"/>
    <n v="39.700000000000003"/>
    <n v="13.9"/>
  </r>
  <r>
    <s v="Kotak Liquid Fund"/>
    <n v="1000"/>
    <n v="100"/>
    <n v="0.15"/>
    <n v="33220"/>
    <n v="10"/>
    <s v="Deepak Agrawal"/>
    <n v="3.68"/>
    <n v="1.33"/>
    <n v="0.38"/>
    <n v="0.76"/>
    <n v="0.85"/>
    <n v="3"/>
    <s v="Kotak Mahindra Mutual Fund"/>
    <n v="2"/>
    <s v="Debt"/>
    <s v="Liquid Mutual Funds"/>
    <n v="5.6"/>
    <n v="4.3"/>
    <n v="5.3"/>
  </r>
  <r>
    <s v="Kotak Low Duration Fund"/>
    <n v="1000"/>
    <n v="5000"/>
    <n v="0.43"/>
    <n v="7420"/>
    <n v="10"/>
    <s v="Deepak Agrawal"/>
    <n v="2.67"/>
    <n v="2.9"/>
    <n v="1.3"/>
    <n v="0.78"/>
    <n v="1.43"/>
    <n v="3"/>
    <s v="Kotak Mahindra Mutual Fund"/>
    <n v="3"/>
    <s v="Debt"/>
    <s v="Low Duration Funds"/>
    <n v="5.4"/>
    <n v="6.2"/>
    <n v="6.9"/>
  </r>
  <r>
    <s v="Kotak Medium Term Fund"/>
    <n v="1000"/>
    <n v="5000"/>
    <n v="0.57999999999999996"/>
    <n v="1934"/>
    <n v="9"/>
    <s v="Deepak Agrawal"/>
    <n v="0.71"/>
    <n v="2.04"/>
    <n v="3.41"/>
    <n v="0.79"/>
    <n v="0.66"/>
    <n v="3"/>
    <s v="Kotak Mahindra Mutual Fund"/>
    <n v="4"/>
    <s v="Debt"/>
    <s v="Medium Duration Funds"/>
    <n v="4"/>
    <n v="7"/>
    <n v="6.6"/>
  </r>
  <r>
    <s v="Kotak Money Market Fund"/>
    <n v="0"/>
    <n v="5000"/>
    <n v="0.26"/>
    <n v="14248"/>
    <n v="10"/>
    <s v="Deepak Agrawal"/>
    <n v="4.43"/>
    <n v="2.59"/>
    <n v="0.51"/>
    <n v="1.2"/>
    <n v="1.92"/>
    <n v="3"/>
    <s v="Kotak Mahindra Mutual Fund"/>
    <n v="3"/>
    <s v="Debt"/>
    <s v="Money Market Funds"/>
    <n v="5.6"/>
    <n v="5.0999999999999996"/>
    <n v="6.1"/>
  </r>
  <r>
    <s v="Kotak Multi Asset Allocator FoF â€“ Dynamic â€“ Direct Growth"/>
    <n v="1000"/>
    <n v="5000"/>
    <n v="0.13"/>
    <n v="783"/>
    <n v="10"/>
    <s v="Devender Singhal"/>
    <n v="4.33"/>
    <n v="8.0399999999999991"/>
    <n v="10.99"/>
    <n v="0.7"/>
    <n v="1.91"/>
    <n v="5"/>
    <s v="Kotak Mahindra Mutual Fund"/>
    <n v="0"/>
    <s v="Other"/>
    <s v="FoFs Domestic"/>
    <n v="11.2"/>
    <n v="25"/>
    <n v="15.3"/>
  </r>
  <r>
    <s v="Kotak Overnight Fund"/>
    <n v="0"/>
    <n v="5000"/>
    <n v="7.0000000000000007E-2"/>
    <n v="8999"/>
    <n v="4"/>
    <s v="Deepak Agrawal"/>
    <n v="-0.1"/>
    <n v="0.56000000000000005"/>
    <n v="0.35"/>
    <n v="0.42"/>
    <n v="-0.02"/>
    <n v="1"/>
    <s v="Kotak Mahindra Mutual Fund"/>
    <n v="3"/>
    <s v="Debt"/>
    <s v="Overnight Mutual Funds"/>
    <n v="5.4"/>
    <n v="3.9"/>
    <m/>
  </r>
  <r>
    <s v="Kotak Savings Fund"/>
    <n v="1000"/>
    <n v="5000"/>
    <n v="0.37"/>
    <n v="12325"/>
    <n v="10"/>
    <s v="Deepak Agrawal"/>
    <n v="4.1399999999999997"/>
    <n v="2.57"/>
    <n v="0.57999999999999996"/>
    <n v="1.1200000000000001"/>
    <n v="1.85"/>
    <n v="3"/>
    <s v="Kotak Mahindra Mutual Fund"/>
    <n v="3"/>
    <s v="Debt"/>
    <s v="Ultra Short Duration Funds"/>
    <n v="5.5"/>
    <n v="5.2"/>
    <n v="6.2"/>
  </r>
  <r>
    <s v="Kotak Small Cap Fund"/>
    <n v="500"/>
    <n v="500"/>
    <n v="0.59"/>
    <n v="8617"/>
    <n v="10"/>
    <s v="Pankaj Tibrewal"/>
    <n v="4.0599999999999996"/>
    <n v="8.99"/>
    <n v="18.260000000000002"/>
    <n v="0.81"/>
    <n v="1.98"/>
    <n v="6"/>
    <s v="Kotak Mahindra Mutual Fund"/>
    <n v="4"/>
    <s v="Equity"/>
    <s v="Small Cap Mutual Funds"/>
    <n v="-0.7"/>
    <n v="43.1"/>
    <n v="17"/>
  </r>
  <r>
    <s v="Kotak Tax Saver Fund"/>
    <n v="500"/>
    <n v="500"/>
    <n v="0.69"/>
    <n v="3167"/>
    <n v="10"/>
    <s v="Harsha Upadhyaya"/>
    <n v="3.36"/>
    <n v="4.6900000000000004"/>
    <n v="14.44"/>
    <n v="0.83"/>
    <n v="1.68"/>
    <n v="6"/>
    <s v="Kotak Mahindra Mutual Fund"/>
    <n v="4"/>
    <s v="Equity"/>
    <s v="ELSS Mutual Funds"/>
    <n v="5"/>
    <n v="28.9"/>
    <n v="14.4"/>
  </r>
  <r>
    <s v="L&amp;T Focused Equity Fund"/>
    <n v="500"/>
    <n v="5000"/>
    <n v="1.0900000000000001"/>
    <n v="946"/>
    <n v="4"/>
    <s v="Venugopal Manghat"/>
    <s v="-"/>
    <s v="-"/>
    <s v="-"/>
    <s v="-"/>
    <s v="-"/>
    <n v="6"/>
    <s v="L&amp;T Mutual Fund"/>
    <n v="3"/>
    <s v="Equity"/>
    <s v="Focused Funds"/>
    <n v="-0.7"/>
    <n v="33.700000000000003"/>
    <n v="11.3"/>
  </r>
  <r>
    <s v="L&amp;T India Large Cap Fund"/>
    <n v="500"/>
    <n v="5000"/>
    <n v="1.49"/>
    <n v="757"/>
    <n v="10"/>
    <s v="Venugopal Manghat"/>
    <n v="2.6"/>
    <n v="-2.34"/>
    <n v="16.62"/>
    <n v="0.97"/>
    <n v="1.18"/>
    <n v="6"/>
    <s v="L&amp;T Mutual Fund"/>
    <n v="2"/>
    <s v="Equity"/>
    <s v="Large Cap Mutual Funds"/>
    <n v="0.8"/>
    <n v="33"/>
    <n v="12.1"/>
  </r>
  <r>
    <s v="LIC MF Arbitrage Fund"/>
    <n v="1000"/>
    <n v="5000"/>
    <n v="0.31"/>
    <n v="27"/>
    <n v="4"/>
    <s v="Jaiprakash Toshniwal"/>
    <n v="0.67"/>
    <n v="1.23"/>
    <n v="0.78"/>
    <n v="0.6"/>
    <n v="0.55000000000000004"/>
    <n v="1"/>
    <s v="LIC Mutual Fund"/>
    <n v="2"/>
    <s v="Hybrid"/>
    <s v="Arbitrage Mutual Funds"/>
    <n v="5.5"/>
    <n v="4.4000000000000004"/>
    <m/>
  </r>
  <r>
    <s v="LIC MF Banking &amp; Fina Serv Fund"/>
    <n v="1000"/>
    <n v="5000"/>
    <n v="1.54"/>
    <n v="121"/>
    <n v="8"/>
    <s v="Jaiprakash Toshniwal"/>
    <n v="2.19"/>
    <n v="0.9"/>
    <n v="22.14"/>
    <n v="0.85"/>
    <n v="0.97"/>
    <n v="6"/>
    <s v="LIC Mutual Fund"/>
    <n v="2"/>
    <s v="Equity"/>
    <s v="Sectoral / Thematic Mutual Funds"/>
    <n v="13.9"/>
    <n v="22.7"/>
    <n v="8.5"/>
  </r>
  <r>
    <s v="LIC MF Banking &amp; PSU Debt Fund"/>
    <n v="1000"/>
    <n v="5000"/>
    <n v="0.28000000000000003"/>
    <n v="1190"/>
    <n v="10"/>
    <s v="Marzban Irani"/>
    <n v="1.49"/>
    <n v="3.94"/>
    <n v="1.53"/>
    <n v="2.0499999999999998"/>
    <n v="0.78"/>
    <n v="2"/>
    <s v="LIC Mutual Fund"/>
    <n v="3"/>
    <s v="Debt"/>
    <s v="Banking and PSU Mutual Funds"/>
    <n v="4.2"/>
    <n v="5.7"/>
    <n v="6.8"/>
  </r>
  <r>
    <s v="LIC MF Bond Fund"/>
    <n v="1000"/>
    <n v="5000"/>
    <n v="0.21"/>
    <n v="111"/>
    <n v="10"/>
    <s v="Marzban Irani"/>
    <n v="0.32"/>
    <n v="0.23"/>
    <n v="2.6"/>
    <n v="1.24"/>
    <n v="0.22"/>
    <n v="3"/>
    <s v="LIC Mutual Fund"/>
    <n v="2"/>
    <s v="Debt"/>
    <s v="Medium to Long Duration Funds"/>
    <n v="4.4000000000000004"/>
    <n v="4.7"/>
    <n v="6.2"/>
  </r>
  <r>
    <s v="LIC MF Childrenâ€™s Gift Fund"/>
    <n v="1000"/>
    <n v="5000"/>
    <n v="1.86"/>
    <n v="12"/>
    <n v="10"/>
    <s v="Karan Desai"/>
    <n v="2.54"/>
    <n v="-3.65"/>
    <n v="13.05"/>
    <n v="0.9"/>
    <n v="0.99"/>
    <n v="6"/>
    <s v="LIC Mutual Fund"/>
    <n v="1"/>
    <s v="Solution Oriented"/>
    <s v="Childrens Funds"/>
    <n v="-1.9"/>
    <n v="17.100000000000001"/>
    <n v="7.6"/>
  </r>
  <r>
    <s v="LIC MF Debt Hybrid Fund"/>
    <n v="1000"/>
    <n v="5000"/>
    <n v="1.34"/>
    <n v="61"/>
    <n v="10"/>
    <s v="Karan Desai"/>
    <n v="2.11"/>
    <n v="-0.54"/>
    <n v="4.1399999999999997"/>
    <n v="0.61"/>
    <n v="0.92"/>
    <n v="4"/>
    <s v="LIC Mutual Fund"/>
    <n v="3"/>
    <s v="Hybrid"/>
    <s v="Conservative Hybrid Mutual Funds"/>
    <n v="2.5"/>
    <n v="8.1"/>
    <n v="6.7"/>
  </r>
  <r>
    <s v="LIC MF Equity Hybrid Fund"/>
    <n v="1000"/>
    <n v="5000"/>
    <n v="1.43"/>
    <n v="378"/>
    <n v="10"/>
    <s v="Karan Desai"/>
    <n v="2.2599999999999998"/>
    <n v="-2.85"/>
    <n v="11.49"/>
    <n v="0.77"/>
    <n v="0.99"/>
    <n v="6"/>
    <s v="LIC Mutual Fund"/>
    <n v="1"/>
    <s v="Hybrid"/>
    <s v="Aggressive Hybrid Mutual Funds"/>
    <n v="-0.5"/>
    <n v="15.1"/>
    <n v="8.3000000000000007"/>
  </r>
  <r>
    <s v="LIC MF Flexi Cap Fund"/>
    <n v="1000"/>
    <n v="5000"/>
    <n v="1.74"/>
    <n v="383"/>
    <n v="10"/>
    <s v="Amit Nadekar"/>
    <n v="2.15"/>
    <n v="-4.3099999999999996"/>
    <n v="14.27"/>
    <n v="0.8"/>
    <n v="1.02"/>
    <n v="6"/>
    <s v="LIC Mutual Fund"/>
    <n v="2"/>
    <s v="Equity"/>
    <s v="Flexi Cap Funds"/>
    <n v="-0.9"/>
    <n v="18.3"/>
    <n v="8.8000000000000007"/>
  </r>
  <r>
    <s v="LIC MF G-Sec Fund"/>
    <n v="1000"/>
    <n v="10000"/>
    <n v="0.76"/>
    <n v="46"/>
    <n v="10"/>
    <s v="Marzban Irani"/>
    <n v="0.51"/>
    <n v="0.27"/>
    <n v="2.23"/>
    <n v="0.45"/>
    <n v="0.35"/>
    <n v="2"/>
    <s v="LIC Mutual Fund"/>
    <n v="3"/>
    <s v="Debt"/>
    <s v="Gilt Mutual Funds"/>
    <n v="3.3"/>
    <n v="4.9000000000000004"/>
    <n v="7.7"/>
  </r>
  <r>
    <s v="LIC MF Infrastructure Fund"/>
    <n v="1000"/>
    <n v="5000"/>
    <n v="1.47"/>
    <n v="90"/>
    <n v="10"/>
    <s v="Yogesh Patil"/>
    <n v="3.89"/>
    <n v="7.11"/>
    <n v="16.12"/>
    <n v="0.56999999999999995"/>
    <n v="1.56"/>
    <n v="6"/>
    <s v="LIC Mutual Fund"/>
    <n v="3"/>
    <s v="Equity"/>
    <s v="Sectoral / Thematic Mutual Funds"/>
    <n v="6.7"/>
    <n v="29.8"/>
    <n v="11.2"/>
  </r>
  <r>
    <s v="LIC MF Large &amp; Mid Cap Fund"/>
    <n v="1000"/>
    <n v="5000"/>
    <n v="0.84"/>
    <n v="1888"/>
    <n v="8"/>
    <s v="Yogesh Patil"/>
    <n v="2.59"/>
    <n v="0.78"/>
    <n v="14.89"/>
    <n v="0.84"/>
    <n v="1.34"/>
    <n v="6"/>
    <s v="LIC Mutual Fund"/>
    <n v="3"/>
    <s v="Equity"/>
    <s v="Large &amp; Mid Cap Funds"/>
    <n v="-4.3"/>
    <n v="22.8"/>
    <n v="10.9"/>
  </r>
  <r>
    <s v="Mahindra Manulife Aggressive Hybrid Fund"/>
    <n v="500"/>
    <n v="1000"/>
    <n v="0.65"/>
    <n v="615"/>
    <n v="4"/>
    <s v="Fatema Pacha"/>
    <n v="3.57"/>
    <n v="4.5199999999999996"/>
    <n v="12.44"/>
    <n v="0.85"/>
    <n v="1.62"/>
    <n v="6"/>
    <s v="Mahindra Manulife Mutual Fund"/>
    <n v="4"/>
    <s v="Hybrid"/>
    <s v="Aggressive Hybrid Mutual Funds"/>
    <n v="2.7"/>
    <n v="24.6"/>
    <m/>
  </r>
  <r>
    <s v="Mahindra Manulife Consumption Fund"/>
    <n v="500"/>
    <n v="1000"/>
    <n v="0.82"/>
    <n v="54"/>
    <n v="4"/>
    <s v="Abhinav Khandelwal"/>
    <n v="2.76"/>
    <n v="0.66"/>
    <n v="14.14"/>
    <n v="0.77"/>
    <n v="1.33"/>
    <n v="6"/>
    <s v="Mahindra Manulife Mutual Fund"/>
    <n v="0"/>
    <s v="Equity"/>
    <s v="Sectoral / Thematic Mutual Funds"/>
    <n v="5.7"/>
    <n v="21.3"/>
    <m/>
  </r>
  <r>
    <s v="Mahindra Manulife Dynamic Bond Fund"/>
    <n v="500"/>
    <n v="1000"/>
    <n v="0.51"/>
    <n v="66"/>
    <n v="5"/>
    <s v="Rahul Pal"/>
    <n v="-0.01"/>
    <n v="-0.19"/>
    <n v="1.7"/>
    <n v="0.65"/>
    <n v="-0.01"/>
    <n v="3"/>
    <s v="Mahindra Manulife Mutual Fund"/>
    <n v="2"/>
    <s v="Debt"/>
    <s v="Dynamic Bond"/>
    <n v="3.4"/>
    <n v="4.4000000000000004"/>
    <m/>
  </r>
  <r>
    <s v="Mahindra Manulife ELSS Fund"/>
    <n v="500"/>
    <n v="500"/>
    <n v="0.73"/>
    <n v="525"/>
    <n v="6"/>
    <s v="Fatema Pacha"/>
    <n v="3.64"/>
    <n v="2.66"/>
    <n v="16.21"/>
    <n v="0.94"/>
    <n v="1.53"/>
    <n v="6"/>
    <s v="Mahindra Manulife Mutual Fund"/>
    <n v="3"/>
    <s v="Equity"/>
    <s v="ELSS Mutual Funds"/>
    <n v="2.2999999999999998"/>
    <n v="29.3"/>
    <n v="12"/>
  </r>
  <r>
    <s v="Mahindra Manulife Equity Savings Fund"/>
    <n v="500"/>
    <n v="1000"/>
    <n v="0.7"/>
    <n v="418"/>
    <n v="6"/>
    <s v="Fatema Pacha"/>
    <n v="3.1"/>
    <n v="3.84"/>
    <n v="8.16"/>
    <n v="1.24"/>
    <n v="1.56"/>
    <n v="4"/>
    <s v="Mahindra Manulife Mutual Fund"/>
    <n v="4"/>
    <s v="Hybrid"/>
    <s v="Equity Savings Mutual Funds"/>
    <n v="1.7"/>
    <n v="32.4"/>
    <n v="13.3"/>
  </r>
  <r>
    <s v="Mahindra Manulife Large &amp; Mid Cap Fund"/>
    <n v="500"/>
    <n v="1000"/>
    <n v="0.51"/>
    <n v="1056"/>
    <n v="3"/>
    <s v="Manish Lodha"/>
    <n v="3.07"/>
    <n v="4.9800000000000004"/>
    <n v="15.69"/>
    <n v="0.88"/>
    <n v="1.61"/>
    <n v="6"/>
    <s v="Mahindra Manulife Mutual Fund"/>
    <n v="5"/>
    <s v="Equity"/>
    <s v="Large &amp; Mid Cap Funds"/>
    <n v="-1.1000000000000001"/>
    <n v="30.4"/>
    <m/>
  </r>
  <r>
    <s v="Mahindra Manulife Large Cap Fund"/>
    <n v="500"/>
    <n v="1000"/>
    <n v="0.67"/>
    <n v="215"/>
    <n v="4"/>
    <s v="Abhinav Khandelwal"/>
    <n v="2.71"/>
    <n v="-1.04"/>
    <n v="15.36"/>
    <n v="0.9"/>
    <n v="1.25"/>
    <n v="6"/>
    <s v="Mahindra Manulife Mutual Fund"/>
    <n v="4"/>
    <s v="Equity"/>
    <s v="Large Cap Mutual Funds"/>
    <n v="0.3"/>
    <n v="25.7"/>
    <m/>
  </r>
  <r>
    <s v="Mahindra Manulife Liquid Fund"/>
    <n v="0"/>
    <n v="1000"/>
    <n v="0.15"/>
    <n v="514"/>
    <n v="7"/>
    <s v="Rahul Pal"/>
    <n v="5.26"/>
    <n v="1.41"/>
    <n v="0.37"/>
    <n v="0.74"/>
    <n v="1.1499999999999999"/>
    <n v="3"/>
    <s v="Mahindra Manulife Mutual Fund"/>
    <n v="5"/>
    <s v="Debt"/>
    <s v="Liquid Mutual Funds"/>
    <n v="5.7"/>
    <n v="4.5"/>
    <n v="5.4"/>
  </r>
  <r>
    <s v="Mahindra Manulife Low Duration Fund"/>
    <n v="500"/>
    <n v="1000"/>
    <n v="0.37"/>
    <n v="395"/>
    <n v="6"/>
    <s v="Rahul Pal"/>
    <n v="3.11"/>
    <n v="2.67"/>
    <n v="0.76"/>
    <n v="1.07"/>
    <n v="1.63"/>
    <n v="3"/>
    <s v="Mahindra Manulife Mutual Fund"/>
    <n v="3"/>
    <s v="Debt"/>
    <s v="Low Duration Funds"/>
    <n v="5.2"/>
    <n v="5.5"/>
    <n v="6.4"/>
  </r>
  <r>
    <s v="Mahindra Manulife Mid Cap Fund"/>
    <n v="500"/>
    <n v="1000"/>
    <n v="0.66"/>
    <n v="1060"/>
    <n v="5"/>
    <s v="Abhinav Khandelwal"/>
    <n v="2.99"/>
    <n v="-0.01"/>
    <n v="16.690000000000001"/>
    <n v="0.89"/>
    <n v="1.57"/>
    <n v="6"/>
    <s v="Mahindra Manulife Mutual Fund"/>
    <n v="3"/>
    <s v="Equity"/>
    <s v="Mid Cap Mutual Funds"/>
    <n v="3.7"/>
    <n v="31"/>
    <n v="14.7"/>
  </r>
  <r>
    <s v="Mahindra Manulife Multi Cap Fund"/>
    <n v="500"/>
    <n v="1000"/>
    <n v="0.49"/>
    <n v="1515"/>
    <n v="6"/>
    <s v="Fatema Pacha"/>
    <n v="2.87"/>
    <n v="4.41"/>
    <n v="17.39"/>
    <n v="0.98"/>
    <n v="1.58"/>
    <n v="6"/>
    <s v="Mahindra Manulife Mutual Fund"/>
    <n v="0"/>
    <s v="Equity"/>
    <s v="Multi Cap Funds"/>
    <n v="1.2"/>
    <n v="32.6"/>
    <n v="15.8"/>
  </r>
  <r>
    <s v="Mahindra Manulife Overnight Fund"/>
    <n v="0"/>
    <n v="1000"/>
    <n v="0.12"/>
    <n v="345"/>
    <n v="4"/>
    <s v="Rahul Pal"/>
    <n v="0.52"/>
    <n v="0.61"/>
    <n v="0.34"/>
    <n v="0.43"/>
    <n v="0.1"/>
    <n v="1"/>
    <s v="Mahindra Manulife Mutual Fund"/>
    <n v="4"/>
    <s v="Debt"/>
    <s v="Overnight Mutual Funds"/>
    <n v="5.4"/>
    <n v="3.9"/>
    <m/>
  </r>
  <r>
    <s v="Mahindra Manulife Short Duration Fund"/>
    <n v="500"/>
    <n v="1000"/>
    <n v="0.28999999999999998"/>
    <n v="43"/>
    <n v="2"/>
    <s v="Rahul Pal"/>
    <s v="-"/>
    <s v="-"/>
    <s v="-"/>
    <s v="-"/>
    <s v="-"/>
    <n v="3"/>
    <s v="Mahindra Manulife Mutual Fund"/>
    <n v="3"/>
    <s v="Debt"/>
    <s v="Short Duration Funds"/>
    <n v="4.4000000000000004"/>
    <m/>
    <m/>
  </r>
  <r>
    <s v="Mahindra Manulife Ultra Short Duration Fund"/>
    <n v="500"/>
    <n v="1000"/>
    <n v="0.35"/>
    <n v="170"/>
    <n v="3"/>
    <s v="Rahul Pal"/>
    <n v="3.72"/>
    <n v="2.38"/>
    <n v="0.56000000000000005"/>
    <n v="1.05"/>
    <n v="1.74"/>
    <n v="2"/>
    <s v="Mahindra Manulife Mutual Fund"/>
    <n v="4"/>
    <s v="Debt"/>
    <s v="Ultra Short Duration Funds"/>
    <n v="5.5"/>
    <n v="5.0999999999999996"/>
    <m/>
  </r>
  <r>
    <s v="Mirae Asset Banking and PSU Debt Fund"/>
    <n v="1000"/>
    <n v="5000"/>
    <n v="0.34"/>
    <n v="89"/>
    <n v="3"/>
    <s v="Basant Bafna"/>
    <s v="-"/>
    <s v="-"/>
    <s v="-"/>
    <s v="-"/>
    <s v="-"/>
    <n v="2"/>
    <s v="Mirae Asset Mutual Fund"/>
    <n v="3"/>
    <s v="Debt"/>
    <s v="Banking and PSU Mutual Funds"/>
    <n v="3.7"/>
    <m/>
    <m/>
  </r>
  <r>
    <s v="Mirae Asset Cash Management Fund"/>
    <n v="1000"/>
    <n v="5000"/>
    <n v="0.17"/>
    <n v="5983"/>
    <n v="10"/>
    <s v="Abhishek Iyer"/>
    <n v="6.12"/>
    <n v="1.3"/>
    <n v="0.37"/>
    <n v="0.7"/>
    <n v="1"/>
    <n v="2"/>
    <s v="Mirae Asset Mutual Fund"/>
    <n v="3"/>
    <s v="Debt"/>
    <s v="Liquid Mutual Funds"/>
    <n v="5.6"/>
    <n v="4.3"/>
    <n v="5.3"/>
  </r>
  <r>
    <s v="Mirae Asset Corporate Bond Fund"/>
    <n v="1000"/>
    <n v="5000"/>
    <n v="0.46"/>
    <n v="57"/>
    <n v="2"/>
    <s v="Mahendra Jajoo"/>
    <s v="-"/>
    <s v="-"/>
    <s v="-"/>
    <s v="-"/>
    <s v="-"/>
    <n v="2"/>
    <s v="Mirae Asset Mutual Fund"/>
    <n v="3"/>
    <s v="Debt"/>
    <s v="Corporate Bond Mutual Funds"/>
    <n v="3.7"/>
    <m/>
    <m/>
  </r>
  <r>
    <s v="Mirae Asset Dynamic Bond Fund"/>
    <n v="1000"/>
    <n v="5000"/>
    <n v="0.18"/>
    <n v="213"/>
    <n v="6"/>
    <s v="Amit Modani"/>
    <n v="0.22"/>
    <n v="0.15"/>
    <n v="2.4900000000000002"/>
    <n v="1.1399999999999999"/>
    <n v="0.19"/>
    <n v="3"/>
    <s v="Mirae Asset Mutual Fund"/>
    <n v="2"/>
    <s v="Debt"/>
    <s v="Dynamic Bond"/>
    <n v="2.8"/>
    <n v="4.5"/>
    <n v="7.2"/>
  </r>
  <r>
    <s v="Mirae Asset Emerging Bluechip Fund"/>
    <n v="1000"/>
    <n v="5000"/>
    <n v="0.68"/>
    <n v="23394"/>
    <n v="10"/>
    <s v="Neelesh Surana"/>
    <n v="3.42"/>
    <n v="3.14"/>
    <n v="16.510000000000002"/>
    <n v="0.95"/>
    <n v="1.51"/>
    <n v="6"/>
    <s v="Mirae Asset Mutual Fund"/>
    <n v="5"/>
    <s v="Equity"/>
    <s v="Large &amp; Mid Cap Funds"/>
    <n v="-1.2"/>
    <n v="29.4"/>
    <n v="15.1"/>
  </r>
  <r>
    <s v="Mirae Asset Equity Savings Fund"/>
    <n v="1000"/>
    <n v="5000"/>
    <n v="0.43"/>
    <n v="573"/>
    <n v="4"/>
    <s v="Harshad Borawake"/>
    <n v="4.03"/>
    <n v="4.3"/>
    <n v="7.17"/>
    <n v="1.06"/>
    <n v="1.66"/>
    <n v="4"/>
    <s v="Mirae Asset Mutual Fund"/>
    <n v="5"/>
    <s v="Hybrid"/>
    <s v="Equity Savings Mutual Funds"/>
    <n v="3.7"/>
    <n v="16.100000000000001"/>
    <m/>
  </r>
  <r>
    <s v="Mirae Asset Focused Fund"/>
    <n v="1000"/>
    <n v="5000"/>
    <n v="0.59"/>
    <n v="8615"/>
    <n v="4"/>
    <s v="Gaurav Misra"/>
    <n v="3.4"/>
    <n v="2.4"/>
    <n v="16.34"/>
    <n v="0.92"/>
    <n v="1.47"/>
    <n v="6"/>
    <s v="Mirae Asset Mutual Fund"/>
    <n v="4"/>
    <s v="Equity"/>
    <s v="Focused Funds"/>
    <n v="-4.9000000000000004"/>
    <n v="28.4"/>
    <m/>
  </r>
  <r>
    <s v="Mirae Asset Great Consumer Fund"/>
    <n v="1000"/>
    <n v="5000"/>
    <n v="0.5"/>
    <n v="1989"/>
    <n v="10"/>
    <s v="Ankit Jain"/>
    <n v="3.41"/>
    <n v="6.38"/>
    <n v="13.39"/>
    <n v="0.7"/>
    <n v="1.68"/>
    <n v="6"/>
    <s v="Mirae Asset Mutual Fund"/>
    <n v="3"/>
    <s v="Equity"/>
    <s v="Sectoral / Thematic Mutual Funds"/>
    <n v="8.1"/>
    <n v="27.2"/>
    <n v="14"/>
  </r>
  <r>
    <s v="Mirae Asset Healthcare Fund"/>
    <n v="1000"/>
    <n v="5000"/>
    <n v="0.52"/>
    <n v="1505"/>
    <n v="5"/>
    <s v="Vrijesh Kasera"/>
    <n v="2.23"/>
    <n v="2.95"/>
    <n v="21.5"/>
    <n v="0.99"/>
    <n v="1"/>
    <n v="6"/>
    <s v="Mirae Asset Mutual Fund"/>
    <n v="0"/>
    <s v="Equity"/>
    <s v="Sectoral / Thematic Mutual Funds"/>
    <n v="-10.7"/>
    <n v="25"/>
    <m/>
  </r>
  <r>
    <s v="Mirae Asset Hybrid â€“ Equity Fund"/>
    <n v="1000"/>
    <n v="5000"/>
    <n v="0.36"/>
    <n v="6952"/>
    <n v="8"/>
    <s v="Harshad Borawake"/>
    <n v="3.27"/>
    <n v="1.95"/>
    <n v="12.26"/>
    <n v="0.84"/>
    <n v="1.42"/>
    <n v="6"/>
    <s v="Mirae Asset Mutual Fund"/>
    <n v="4"/>
    <s v="Hybrid"/>
    <s v="Aggressive Hybrid Mutual Funds"/>
    <n v="1.7"/>
    <n v="21.9"/>
    <n v="12.2"/>
  </r>
  <r>
    <s v="Motilal Oswal Balance Advantage Fund"/>
    <n v="500"/>
    <n v="500"/>
    <n v="1.19"/>
    <n v="667"/>
    <n v="6"/>
    <s v="Santosh Singh"/>
    <n v="1.1299999999999999"/>
    <n v="-4.9400000000000004"/>
    <n v="10.32"/>
    <n v="0.62"/>
    <n v="0.62"/>
    <n v="6"/>
    <s v="Motilal Oswal Mutual Fund"/>
    <n v="1"/>
    <s v="Hybrid"/>
    <s v="Dynamic Asset Allocation or Balanced Advantage"/>
    <n v="0.3"/>
    <n v="9.9"/>
    <n v="5.6"/>
  </r>
  <r>
    <s v="Motilal Oswal Equity Hybrid Fund"/>
    <n v="500"/>
    <n v="500"/>
    <n v="0.94"/>
    <n v="385"/>
    <n v="5"/>
    <s v="Siddharth Bothra"/>
    <n v="2.63"/>
    <n v="-1.1299999999999999"/>
    <n v="11.94"/>
    <n v="0.82"/>
    <n v="1.1599999999999999"/>
    <n v="6"/>
    <s v="Motilal Oswal Mutual Fund"/>
    <n v="3"/>
    <s v="Hybrid"/>
    <s v="Aggressive Hybrid Mutual Funds"/>
    <n v="1.7"/>
    <n v="32.4"/>
    <n v="13.3"/>
  </r>
  <r>
    <s v="Motilal Oswal Flexi Cap Fund"/>
    <n v="500"/>
    <n v="500"/>
    <n v="0.97"/>
    <n v="8332"/>
    <n v="9"/>
    <s v="Siddharth Bothra"/>
    <n v="1.98"/>
    <n v="-6.29"/>
    <n v="15.5"/>
    <n v="0.86"/>
    <n v="0.9"/>
    <n v="6"/>
    <s v="Motilal Oswal Mutual Fund"/>
    <n v="1"/>
    <s v="Equity"/>
    <s v="Flexi Cap Funds"/>
    <n v="-1.6"/>
    <n v="16.399999999999999"/>
    <n v="4.9000000000000004"/>
  </r>
  <r>
    <s v="Motilal Oswal Focused Fund"/>
    <n v="500"/>
    <n v="500"/>
    <n v="1"/>
    <n v="1643"/>
    <n v="10"/>
    <s v="Siddharth Bothra"/>
    <n v="2.1"/>
    <n v="-4.8099999999999996"/>
    <n v="16.36"/>
    <n v="0.94"/>
    <n v="1.01"/>
    <n v="6"/>
    <s v="Motilal Oswal Mutual Fund"/>
    <n v="2"/>
    <s v="Equity"/>
    <s v="Focused Funds"/>
    <n v="2.6"/>
    <n v="20.399999999999999"/>
    <n v="10.6"/>
  </r>
  <r>
    <s v="Motilal Oswal Large and Midcap Fund"/>
    <n v="500"/>
    <n v="500"/>
    <n v="0.73"/>
    <n v="1415"/>
    <n v="3"/>
    <s v="Aditya Khemani"/>
    <n v="3.17"/>
    <n v="5.27"/>
    <n v="15.94"/>
    <n v="0.85"/>
    <n v="1.55"/>
    <n v="6"/>
    <s v="Motilal Oswal Mutual Fund"/>
    <n v="3"/>
    <s v="Equity"/>
    <s v="Large &amp; Mid Cap Funds"/>
    <n v="10.7"/>
    <n v="28.9"/>
    <m/>
  </r>
  <r>
    <s v="Motilal Oswal Liquid Fund"/>
    <n v="500"/>
    <n v="500"/>
    <n v="0.21"/>
    <n v="484"/>
    <n v="4"/>
    <s v="Rakesh Shetty"/>
    <n v="-0.39"/>
    <n v="0.88"/>
    <n v="0.35"/>
    <n v="0.68"/>
    <n v="-0.08"/>
    <n v="2"/>
    <s v="Motilal Oswal Mutual Fund"/>
    <n v="1"/>
    <s v="Debt"/>
    <s v="Liquid Mutual Funds"/>
    <n v="5.2"/>
    <n v="3.8"/>
    <m/>
  </r>
  <r>
    <s v="Motilal Oswal Long Term Equity Fund"/>
    <n v="500"/>
    <n v="500"/>
    <n v="0.8"/>
    <n v="2187"/>
    <n v="8"/>
    <s v="Aditya Khemani"/>
    <n v="3.01"/>
    <n v="1.02"/>
    <n v="15.9"/>
    <n v="0.88"/>
    <n v="1.36"/>
    <n v="6"/>
    <s v="Motilal Oswal Mutual Fund"/>
    <n v="3"/>
    <s v="Equity"/>
    <s v="ELSS Mutual Funds"/>
    <n v="8.5"/>
    <n v="25"/>
    <n v="10"/>
  </r>
  <r>
    <s v="Motilal Oswal Midcap Fund"/>
    <n v="500"/>
    <n v="500"/>
    <n v="0.87"/>
    <n v="3769"/>
    <n v="9"/>
    <s v="Niket Shah"/>
    <n v="3.72"/>
    <n v="7.69"/>
    <n v="15.34"/>
    <n v="0.77"/>
    <n v="1.98"/>
    <n v="6"/>
    <s v="Motilal Oswal Mutual Fund"/>
    <n v="5"/>
    <s v="Equity"/>
    <s v="Mid Cap Mutual Funds"/>
    <n v="14.6"/>
    <n v="34"/>
    <n v="16.399999999999999"/>
  </r>
  <r>
    <s v="Motilal Oswal Nasdaq 100 FOF â€“ Direct Growth"/>
    <n v="500"/>
    <n v="500"/>
    <n v="0.1"/>
    <n v="3378"/>
    <n v="4"/>
    <s v="Swapnil Mayekar"/>
    <n v="1.18"/>
    <s v="-"/>
    <n v="22.3"/>
    <s v="-"/>
    <n v="0.77"/>
    <n v="6"/>
    <s v="Motilal Oswal Mutual Fund"/>
    <n v="0"/>
    <s v="Other"/>
    <s v="FoFs Overseas"/>
    <n v="-6.2"/>
    <n v="21.4"/>
    <m/>
  </r>
  <r>
    <s v="Motilal Oswal Nifty 50 Index Fund"/>
    <n v="500"/>
    <n v="500"/>
    <n v="0.14000000000000001"/>
    <n v="234"/>
    <n v="3"/>
    <s v="Swapnil Mayekar"/>
    <n v="3.48"/>
    <n v="-0.6"/>
    <n v="16.66"/>
    <n v="0.99"/>
    <n v="1.31"/>
    <n v="6"/>
    <s v="Motilal Oswal Mutual Fund"/>
    <n v="4"/>
    <s v="Other"/>
    <s v="Index Funds"/>
    <n v="0.1"/>
    <n v="26"/>
    <m/>
  </r>
  <r>
    <s v="Motilal Oswal Nifty 500 Index Fund"/>
    <n v="500"/>
    <n v="500"/>
    <n v="0.4"/>
    <n v="372"/>
    <n v="4"/>
    <s v="Swapnil Mayekar"/>
    <n v="3.05"/>
    <n v="-0.81"/>
    <n v="16.62"/>
    <n v="0.99"/>
    <n v="1.34"/>
    <n v="6"/>
    <s v="Motilal Oswal Mutual Fund"/>
    <n v="3"/>
    <s v="Other"/>
    <s v="Index Funds"/>
    <n v="-1.2"/>
    <n v="26.7"/>
    <m/>
  </r>
  <r>
    <s v="Motilal Oswal Nifty Bank Index Fund"/>
    <n v="500"/>
    <n v="500"/>
    <n v="0.21"/>
    <n v="332"/>
    <n v="4"/>
    <s v="Swapnil Mayekar"/>
    <n v="2.02"/>
    <n v="0"/>
    <n v="25.4"/>
    <n v="1"/>
    <n v="0.95"/>
    <n v="6"/>
    <s v="Motilal Oswal Mutual Fund"/>
    <n v="2"/>
    <s v="Other"/>
    <s v="Index Funds"/>
    <n v="10.8"/>
    <n v="25"/>
    <m/>
  </r>
  <r>
    <s v="Motilal Oswal Ultra Short Term Fund"/>
    <n v="500"/>
    <n v="500"/>
    <n v="0.57999999999999996"/>
    <n v="101"/>
    <n v="10"/>
    <s v="Rakesh Shetty"/>
    <n v="-0.2"/>
    <n v="1.32"/>
    <n v="0.39"/>
    <n v="1.01"/>
    <n v="-0.09"/>
    <n v="1"/>
    <s v="Motilal Oswal Mutual Fund"/>
    <n v="1"/>
    <s v="Debt"/>
    <s v="Ultra Short Duration Funds"/>
    <n v="4.7"/>
    <n v="3.9"/>
    <n v="1.8"/>
  </r>
  <r>
    <s v="Navi 3 In 1 Fund"/>
    <n v="500"/>
    <n v="1000"/>
    <n v="0.34"/>
    <n v="15"/>
    <n v="10"/>
    <s v="Aditya Mulki"/>
    <n v="3.29"/>
    <n v="0.91"/>
    <n v="15.51"/>
    <n v="0.89"/>
    <n v="1.41"/>
    <n v="6"/>
    <s v="Navi Mutual Fund"/>
    <n v="2"/>
    <s v="Hybrid"/>
    <s v="Multi Asset Allocation Mutual Funds"/>
    <n v="0.2"/>
    <n v="32.6"/>
    <n v="12.4"/>
  </r>
  <r>
    <s v="Navi ELSS Tax Saver Fund"/>
    <n v="500"/>
    <n v="500"/>
    <n v="0.4"/>
    <n v="56"/>
    <n v="7"/>
    <s v="Aditya Mulki"/>
    <s v="-"/>
    <s v="-"/>
    <s v="-"/>
    <s v="-"/>
    <s v="-"/>
    <n v="6"/>
    <s v="Navi Mutual Fund"/>
    <n v="2"/>
    <s v="Equity"/>
    <s v="ELSS Mutual Funds"/>
    <n v="1.3"/>
    <n v="23.4"/>
    <n v="10.5"/>
  </r>
  <r>
    <s v="Navi Equity Hybrid Fund"/>
    <n v="500"/>
    <n v="10"/>
    <n v="0.42"/>
    <n v="82"/>
    <n v="5"/>
    <s v="Aditya Mulki"/>
    <n v="2.72"/>
    <n v="1.73"/>
    <n v="11.25"/>
    <n v="0.77"/>
    <n v="1.41"/>
    <n v="6"/>
    <s v="Navi Mutual Fund"/>
    <n v="3"/>
    <s v="Hybrid"/>
    <s v="Aggressive Hybrid Mutual Funds"/>
    <n v="3.2"/>
    <n v="19.7"/>
    <m/>
  </r>
  <r>
    <s v="Navi Flexi Cap Fund"/>
    <n v="500"/>
    <n v="10"/>
    <n v="0.43"/>
    <n v="202"/>
    <n v="5"/>
    <s v="Aditya Mulki"/>
    <n v="3.29"/>
    <n v="0.91"/>
    <n v="15.51"/>
    <n v="0.89"/>
    <n v="1.41"/>
    <n v="6"/>
    <s v="Navi Mutual Fund"/>
    <n v="3"/>
    <s v="Equity"/>
    <s v="Flexi Cap Funds"/>
    <n v="2.1"/>
    <n v="25.9"/>
    <m/>
  </r>
  <r>
    <s v="Navi Large &amp; Midcap Fund"/>
    <n v="500"/>
    <n v="10"/>
    <n v="0.35"/>
    <n v="234"/>
    <n v="7"/>
    <s v="Aditya Mulki"/>
    <n v="3.12"/>
    <n v="5.26"/>
    <n v="15.37"/>
    <n v="0.85"/>
    <n v="1.61"/>
    <n v="6"/>
    <s v="Navi Mutual Fund"/>
    <n v="3"/>
    <s v="Equity"/>
    <s v="Large &amp; Mid Cap Funds"/>
    <n v="1.6"/>
    <n v="28.7"/>
    <n v="12.7"/>
  </r>
  <r>
    <s v="Navi Large Cap Equity Fund"/>
    <n v="500"/>
    <n v="1000"/>
    <n v="0.31"/>
    <n v="91"/>
    <n v="10"/>
    <s v="Aditya Mulki"/>
    <n v="3.12"/>
    <n v="5.26"/>
    <n v="15.37"/>
    <n v="0.85"/>
    <n v="1.61"/>
    <n v="6"/>
    <s v="Navi Mutual Fund"/>
    <n v="2"/>
    <s v="Equity"/>
    <s v="Large Cap Mutual Funds"/>
    <n v="0.2"/>
    <n v="32.6"/>
    <n v="12.4"/>
  </r>
  <r>
    <s v="Navi Regular Savings Fund"/>
    <n v="500"/>
    <n v="10"/>
    <n v="0.39"/>
    <n v="26"/>
    <n v="10"/>
    <s v="Surbhi Sharma"/>
    <n v="2.69"/>
    <n v="1.01"/>
    <n v="3.3"/>
    <n v="0.5"/>
    <n v="1.38"/>
    <n v="4"/>
    <s v="Navi Mutual Fund"/>
    <n v="3"/>
    <s v="Hybrid"/>
    <s v="Conservative Hybrid Mutual Funds"/>
    <n v="4.4000000000000004"/>
    <n v="8.4"/>
    <n v="6.5"/>
  </r>
  <r>
    <s v="Navi Ultra Short Term Fund"/>
    <n v="500"/>
    <n v="1000"/>
    <n v="0.73"/>
    <n v="11"/>
    <n v="10"/>
    <s v="Surbhi Sharma"/>
    <n v="2.4500000000000002"/>
    <n v="1.07"/>
    <n v="0.36"/>
    <n v="0.59"/>
    <n v="0.79"/>
    <n v="2"/>
    <s v="Navi Mutual Fund"/>
    <n v="1"/>
    <s v="Debt"/>
    <s v="Ultra Short Duration Funds"/>
    <n v="1.7"/>
    <n v="32.4"/>
    <n v="13.3"/>
  </r>
  <r>
    <s v="Nippon India Arbitrage Fund"/>
    <n v="100"/>
    <n v="5000"/>
    <n v="0.21"/>
    <n v="9234"/>
    <n v="10"/>
    <s v="Anand Devendra Gupta"/>
    <n v="1.67"/>
    <n v="1.74"/>
    <n v="0.7"/>
    <n v="0.61"/>
    <n v="1.31"/>
    <n v="1"/>
    <s v="Nippon India Mutual Fund"/>
    <n v="4"/>
    <s v="Hybrid"/>
    <s v="Arbitrage Mutual Funds"/>
    <n v="5.6"/>
    <n v="4.9000000000000004"/>
    <n v="5.7"/>
  </r>
  <r>
    <s v="Nippon India Balanced Advantage Fund"/>
    <n v="100"/>
    <n v="100"/>
    <n v="0.65"/>
    <n v="6593"/>
    <n v="10"/>
    <s v="Amar Kalkundrikar"/>
    <n v="3.76"/>
    <n v="3.1"/>
    <n v="8.5299999999999994"/>
    <n v="0.56000000000000005"/>
    <n v="1.58"/>
    <n v="5"/>
    <s v="Nippon India Mutual Fund"/>
    <n v="3"/>
    <s v="Hybrid"/>
    <s v="Dynamic Asset Allocation or Balanced Advantage"/>
    <n v="5.3"/>
    <n v="17.100000000000001"/>
    <n v="10.1"/>
  </r>
  <r>
    <s v="Nippon India Banking &amp; PSU Debt Fund"/>
    <n v="100"/>
    <n v="5000"/>
    <n v="0.33"/>
    <n v="4008"/>
    <n v="8"/>
    <s v="Pranay Sinha"/>
    <n v="1.84"/>
    <n v="5.0999999999999996"/>
    <n v="1.92"/>
    <n v="2.27"/>
    <n v="1.08"/>
    <n v="3"/>
    <s v="Nippon India Mutual Fund"/>
    <n v="4"/>
    <s v="Debt"/>
    <s v="Banking and PSU Mutual Funds"/>
    <n v="4.2"/>
    <n v="6.9"/>
    <n v="7.4"/>
  </r>
  <r>
    <s v="Nippon India Banking&amp;Financial Services-DirGrowth"/>
    <n v="100"/>
    <n v="5000"/>
    <n v="1.32"/>
    <n v="3826"/>
    <n v="10"/>
    <s v="Vinay Sharma"/>
    <n v="2.2200000000000002"/>
    <n v="6.01"/>
    <n v="24.98"/>
    <n v="0.93"/>
    <n v="1.1499999999999999"/>
    <n v="6"/>
    <s v="Nippon India Mutual Fund"/>
    <n v="3"/>
    <s v="Equity"/>
    <s v="Sectoral / Thematic Mutual Funds"/>
    <n v="8.8000000000000007"/>
    <n v="28.3"/>
    <n v="9.5"/>
  </r>
  <r>
    <s v="Nippon India Consumption Fund"/>
    <n v="100"/>
    <n v="5000"/>
    <n v="1.76"/>
    <n v="312"/>
    <n v="10"/>
    <s v="Amar Kalkundrikar"/>
    <n v="4.22"/>
    <n v="8.77"/>
    <n v="14.85"/>
    <n v="0.76"/>
    <n v="1.76"/>
    <n v="6"/>
    <s v="Nippon India Mutual Fund"/>
    <n v="5"/>
    <s v="Equity"/>
    <s v="Sectoral / Thematic Mutual Funds"/>
    <n v="12.1"/>
    <n v="30.6"/>
    <n v="14.6"/>
  </r>
  <r>
    <s v="Nippon India Corporate Bond Fund"/>
    <n v="100"/>
    <n v="5000"/>
    <n v="0.32"/>
    <n v="1701"/>
    <n v="10"/>
    <s v="Vivek Sharma"/>
    <n v="2.64"/>
    <n v="2.14"/>
    <n v="1.41"/>
    <n v="0.47"/>
    <n v="1.61"/>
    <n v="3"/>
    <s v="Nippon India Mutual Fund"/>
    <n v="5"/>
    <s v="Debt"/>
    <s v="Corporate Bond Mutual Funds"/>
    <n v="5.0999999999999996"/>
    <n v="6.8"/>
    <n v="7"/>
  </r>
  <r>
    <s v="Nippon India Credit Risk Fund"/>
    <n v="100"/>
    <n v="500"/>
    <n v="1"/>
    <n v="927"/>
    <n v="10"/>
    <s v="Sushil Budhia"/>
    <n v="3.84"/>
    <n v="6.08"/>
    <n v="3.87"/>
    <n v="0.9"/>
    <n v="1.26"/>
    <n v="5"/>
    <s v="Nippon India Mutual Fund"/>
    <n v="2"/>
    <s v="Debt"/>
    <s v="Credit Risk Funds"/>
    <n v="4.8"/>
    <n v="9.5"/>
    <n v="4.4000000000000004"/>
  </r>
  <r>
    <s v="Nippon India Small Cap Fund"/>
    <n v="100"/>
    <n v="5000"/>
    <n v="0.86"/>
    <n v="23910"/>
    <n v="10"/>
    <s v="Samir Rachh"/>
    <n v="4.2"/>
    <n v="10.01"/>
    <n v="19.309999999999999"/>
    <n v="0.89"/>
    <n v="2.06"/>
    <n v="6"/>
    <s v="Nippon India Mutual Fund"/>
    <n v="4"/>
    <s v="Equity"/>
    <s v="Small Cap Mutual Funds"/>
    <n v="8.6999999999999993"/>
    <n v="47.6"/>
    <n v="16.8"/>
  </r>
  <r>
    <s v="Nippon India Strategic Debt Fund"/>
    <n v="100"/>
    <n v="5000"/>
    <n v="1.4"/>
    <n v="151"/>
    <n v="9"/>
    <s v="Sushil Budhia"/>
    <n v="2.12"/>
    <n v="4.1399999999999997"/>
    <n v="8.43"/>
    <n v="0.16"/>
    <n v="0.5"/>
    <n v="6"/>
    <s v="Nippon India Mutual Fund"/>
    <n v="2"/>
    <s v="Debt"/>
    <s v="Medium Duration Funds"/>
    <n v="2.7"/>
    <n v="8.3000000000000007"/>
    <n v="-0.9"/>
  </r>
  <r>
    <s v="Nippon India Tax Saver (ELSS) Fund"/>
    <n v="500"/>
    <n v="500"/>
    <n v="1.18"/>
    <n v="11210"/>
    <n v="10"/>
    <s v="Rupesh Patel"/>
    <n v="2.75"/>
    <n v="0.53"/>
    <n v="17.25"/>
    <n v="0.98"/>
    <n v="1.37"/>
    <n v="6"/>
    <s v="Nippon India Mutual Fund"/>
    <n v="1"/>
    <s v="Equity"/>
    <s v="ELSS Mutual Funds"/>
    <n v="1.8"/>
    <n v="27.3"/>
    <n v="6.5"/>
  </r>
  <r>
    <s v="Nippon India US Equity Opportunities Fund"/>
    <n v="100"/>
    <n v="100"/>
    <n v="1.22"/>
    <n v="534"/>
    <n v="8"/>
    <s v="Kinjal Desai"/>
    <n v="1.33"/>
    <s v="-"/>
    <n v="19.57"/>
    <s v="-"/>
    <n v="0.67"/>
    <n v="6"/>
    <s v="Nippon India Mutual Fund"/>
    <n v="0"/>
    <s v="Equity"/>
    <s v="Sectoral / Thematic Mutual Funds"/>
    <n v="1.7"/>
    <n v="32.4"/>
    <n v="13.3"/>
  </r>
  <r>
    <s v="Nippon India USD Fund"/>
    <n v="100"/>
    <n v="100"/>
    <n v="0.38"/>
    <n v="5114"/>
    <n v="10"/>
    <s v="Vivek Sharma"/>
    <n v="3.13"/>
    <n v="3.47"/>
    <n v="1.79"/>
    <n v="0.53"/>
    <n v="1.54"/>
    <n v="3"/>
    <s v="Nippon India Mutual Fund"/>
    <n v="5"/>
    <s v="Debt"/>
    <s v="Ultra Short Duration Funds"/>
    <n v="5.9"/>
    <n v="7"/>
    <n v="5.9"/>
  </r>
  <r>
    <s v="Nippon India Value Fund"/>
    <n v="100"/>
    <n v="500"/>
    <n v="1.21"/>
    <n v="4641"/>
    <n v="10"/>
    <s v="Meenakshi Dawar"/>
    <n v="3.34"/>
    <n v="4.25"/>
    <n v="16.97"/>
    <n v="0.97"/>
    <n v="1.54"/>
    <n v="6"/>
    <s v="Nippon India Mutual Fund"/>
    <n v="3"/>
    <s v="Equity"/>
    <s v="Value Funds"/>
    <n v="0"/>
    <n v="30.3"/>
    <n v="12.2"/>
  </r>
  <r>
    <s v="Nippon India Vision Fund"/>
    <n v="100"/>
    <n v="5000"/>
    <n v="1.55"/>
    <n v="3024"/>
    <n v="10"/>
    <s v="Amar Kalkundrikar"/>
    <n v="3.41"/>
    <n v="2.62"/>
    <n v="15.86"/>
    <n v="0.91"/>
    <n v="1.48"/>
    <n v="6"/>
    <s v="Nippon India Mutual Fund"/>
    <n v="1"/>
    <s v="Equity"/>
    <s v="Large &amp; Mid Cap Funds"/>
    <n v="2.1"/>
    <n v="27.4"/>
    <n v="9.3000000000000007"/>
  </r>
  <r>
    <s v="Parag Parikh Flexi Cap Fund"/>
    <n v="1000"/>
    <n v="1000"/>
    <n v="0.75"/>
    <n v="29953"/>
    <n v="10"/>
    <s v="Rajeev Thakkar"/>
    <n v="3.06"/>
    <n v="10.65"/>
    <n v="14.53"/>
    <n v="0.7"/>
    <n v="1.86"/>
    <n v="6"/>
    <s v="PPFAS Mutual Fund"/>
    <n v="5"/>
    <s v="Equity"/>
    <s v="Flexi Cap Funds"/>
    <n v="2.2999999999999998"/>
    <n v="33.6"/>
    <n v="17.600000000000001"/>
  </r>
  <r>
    <s v="Parag Parikh Liquid Fund"/>
    <n v="1000"/>
    <n v="5000"/>
    <n v="0.17"/>
    <n v="1456"/>
    <n v="5"/>
    <s v="Raj Mehta"/>
    <n v="0.59"/>
    <n v="0.87"/>
    <n v="0.34"/>
    <n v="0.62"/>
    <n v="0.13"/>
    <n v="2"/>
    <s v="PPFAS Mutual Fund"/>
    <n v="1"/>
    <s v="Debt"/>
    <s v="Liquid Mutual Funds"/>
    <n v="5.3"/>
    <n v="4"/>
    <m/>
  </r>
  <r>
    <s v="Parag Parikh Tax Saver Fund"/>
    <n v="1000"/>
    <n v="500"/>
    <n v="0.8"/>
    <n v="1147"/>
    <n v="4"/>
    <s v="Rajeev Thakkar"/>
    <n v="4.17"/>
    <n v="12.64"/>
    <n v="12.88"/>
    <n v="0.62"/>
    <n v="2.11"/>
    <n v="6"/>
    <s v="PPFAS Mutual Fund"/>
    <n v="5"/>
    <s v="Equity"/>
    <s v="ELSS Mutual Funds"/>
    <n v="8"/>
    <n v="33"/>
    <m/>
  </r>
  <r>
    <s v="PGIM India Arbitrage Fund"/>
    <n v="1000"/>
    <n v="5000"/>
    <n v="0.33"/>
    <n v="168"/>
    <n v="9"/>
    <s v="Utkarsh Katkoria"/>
    <n v="0.85"/>
    <n v="1.06"/>
    <n v="0.7"/>
    <n v="0.41"/>
    <n v="0.73"/>
    <n v="1"/>
    <s v="PGIM India Mutual Fund"/>
    <n v="2"/>
    <s v="Hybrid"/>
    <s v="Arbitrage Mutual Funds"/>
    <n v="5.3"/>
    <n v="4.5"/>
    <n v="5.2"/>
  </r>
  <r>
    <s v="PGIM India Banking&amp;PSU Debt Fund"/>
    <n v="1000"/>
    <n v="5000"/>
    <n v="0.25"/>
    <n v="53"/>
    <n v="10"/>
    <s v="Puneet Pal"/>
    <n v="2.06"/>
    <n v="3.87"/>
    <n v="1.73"/>
    <n v="1.62"/>
    <n v="0.99"/>
    <n v="2"/>
    <s v="PGIM India Mutual Fund"/>
    <n v="3"/>
    <s v="Debt"/>
    <s v="Banking and PSU Mutual Funds"/>
    <n v="4.0999999999999996"/>
    <n v="6.4"/>
    <n v="7.1"/>
  </r>
  <r>
    <s v="PGIM India Corporate Bond Fund"/>
    <n v="1000"/>
    <n v="5000"/>
    <n v="0.28999999999999998"/>
    <n v="49"/>
    <n v="10"/>
    <s v="Puneet Pal"/>
    <n v="2.99"/>
    <n v="1.95"/>
    <n v="1.74"/>
    <n v="0.57999999999999996"/>
    <n v="1.21"/>
    <n v="2"/>
    <s v="PGIM India Mutual Fund"/>
    <n v="4"/>
    <s v="Debt"/>
    <s v="Corporate Bond Mutual Funds"/>
    <n v="4.3"/>
    <n v="6.8"/>
    <n v="6.9"/>
  </r>
  <r>
    <s v="PGIM India Dynamic Bond Fund"/>
    <n v="1000"/>
    <n v="5000"/>
    <n v="0.36"/>
    <n v="135"/>
    <n v="10"/>
    <s v="Puneet Pal"/>
    <n v="0.89"/>
    <n v="1.08"/>
    <n v="1.93"/>
    <n v="0.85"/>
    <n v="0.68"/>
    <n v="2"/>
    <s v="PGIM India Mutual Fund"/>
    <n v="3"/>
    <s v="Debt"/>
    <s v="Dynamic Bond"/>
    <n v="4.5999999999999996"/>
    <n v="5.7"/>
    <n v="7.4"/>
  </r>
  <r>
    <s v="PGIM India Elss Tax Saver Fund"/>
    <n v="500"/>
    <n v="500"/>
    <n v="1"/>
    <n v="451"/>
    <n v="7"/>
    <s v="Srinivas Rao Ravuri"/>
    <n v="3.32"/>
    <n v="4.67"/>
    <n v="16.010000000000002"/>
    <n v="0.92"/>
    <n v="1.64"/>
    <n v="6"/>
    <s v="PGIM India Mutual Fund"/>
    <n v="4"/>
    <s v="Equity"/>
    <s v="ELSS Mutual Funds"/>
    <n v="2.9"/>
    <n v="31.8"/>
    <n v="13.7"/>
  </r>
  <r>
    <s v="PGIM India Equity Savings Fund"/>
    <n v="1000"/>
    <n v="5000"/>
    <n v="0.42"/>
    <n v="143"/>
    <n v="10"/>
    <s v="Anandha Padmanabhan Anjen"/>
    <n v="4.6100000000000003"/>
    <n v="4.09"/>
    <n v="4.51"/>
    <n v="0.6"/>
    <n v="1.86"/>
    <n v="2"/>
    <s v="PGIM India Mutual Fund"/>
    <n v="3"/>
    <s v="Hybrid"/>
    <s v="Equity Savings Mutual Funds"/>
    <n v="4.3"/>
    <n v="12.6"/>
    <n v="8"/>
  </r>
  <r>
    <s v="PGIM India Flexi Cap Fund"/>
    <n v="1000"/>
    <n v="100"/>
    <n v="0.4"/>
    <n v="5199"/>
    <n v="8"/>
    <s v="Aniruddha Naha"/>
    <n v="3.13"/>
    <n v="5.27"/>
    <n v="17.809999999999999"/>
    <n v="0.99"/>
    <n v="1.6"/>
    <n v="6"/>
    <s v="PGIM India Mutual Fund"/>
    <n v="5"/>
    <s v="Equity"/>
    <s v="Flexi Cap Funds"/>
    <n v="-2.2999999999999998"/>
    <n v="34"/>
    <n v="15.7"/>
  </r>
  <r>
    <s v="PGIM India GEO Fund"/>
    <n v="1000"/>
    <n v="5000"/>
    <n v="1.44"/>
    <n v="1336"/>
    <n v="10"/>
    <s v="Rahul Jagwani"/>
    <n v="1.01"/>
    <s v="-"/>
    <n v="25.79"/>
    <s v="-"/>
    <n v="0.55000000000000004"/>
    <n v="6"/>
    <s v="PGIM India Mutual Fund"/>
    <n v="0"/>
    <s v="Other"/>
    <s v="FoFs Overseas"/>
    <n v="-7.9"/>
    <n v="18.899999999999999"/>
    <n v="14.1"/>
  </r>
  <r>
    <s v="PGIM India Gilt Fund"/>
    <n v="1000"/>
    <n v="5000"/>
    <n v="0.39"/>
    <n v="135"/>
    <n v="10"/>
    <s v="Puneet Pal"/>
    <n v="0.74"/>
    <n v="0.65"/>
    <n v="2.16"/>
    <n v="0.47"/>
    <n v="0.54"/>
    <n v="3"/>
    <s v="PGIM India Mutual Fund"/>
    <n v="3"/>
    <s v="Debt"/>
    <s v="Gilt Mutual Funds"/>
    <n v="4.2"/>
    <n v="5.3"/>
    <n v="7"/>
  </r>
  <r>
    <s v="Quant Absolute Fund"/>
    <n v="1000"/>
    <n v="5000"/>
    <n v="0.56000000000000005"/>
    <n v="1013"/>
    <n v="10"/>
    <s v="Sanjeev Sharma"/>
    <n v="3.75"/>
    <n v="16.98"/>
    <n v="14.41"/>
    <n v="0.73"/>
    <n v="2.12"/>
    <n v="6"/>
    <s v="Quant Mutual Fund"/>
    <n v="5"/>
    <s v="Hybrid"/>
    <s v="Aggressive Hybrid Mutual Funds"/>
    <n v="7.3"/>
    <n v="38.200000000000003"/>
    <n v="19.100000000000001"/>
  </r>
  <r>
    <s v="Quant Active Fund"/>
    <n v="1000"/>
    <n v="5000"/>
    <n v="0.57999999999999996"/>
    <n v="3531"/>
    <n v="10"/>
    <s v="Sanjeev Sharma"/>
    <n v="3.33"/>
    <n v="13.82"/>
    <n v="19.649999999999999"/>
    <n v="0.97"/>
    <n v="1.87"/>
    <n v="6"/>
    <s v="Quant Mutual Fund"/>
    <n v="0"/>
    <s v="Equity"/>
    <s v="Multi Cap Funds"/>
    <n v="1"/>
    <n v="45.5"/>
    <n v="19.899999999999999"/>
  </r>
  <r>
    <s v="Quant Flexi Cap Fund"/>
    <n v="1000"/>
    <n v="5000"/>
    <n v="0.57999999999999996"/>
    <n v="1044"/>
    <n v="10"/>
    <s v="Vasav Sahgal"/>
    <n v="3.65"/>
    <n v="15.93"/>
    <n v="19.16"/>
    <n v="0.91"/>
    <n v="1.94"/>
    <n v="6"/>
    <s v="Quant Mutual Fund"/>
    <n v="5"/>
    <s v="Equity"/>
    <s v="Flexi Cap Funds"/>
    <n v="6.8"/>
    <n v="47.7"/>
    <n v="18.2"/>
  </r>
  <r>
    <s v="Quant Focused Fund"/>
    <n v="1000"/>
    <n v="5000"/>
    <n v="0.56999999999999995"/>
    <n v="219"/>
    <n v="10"/>
    <s v="Sanjeev Sharma"/>
    <n v="3.14"/>
    <n v="8.6"/>
    <n v="17.34"/>
    <n v="0.85"/>
    <n v="1.61"/>
    <n v="6"/>
    <s v="Quant Mutual Fund"/>
    <n v="5"/>
    <s v="Equity"/>
    <s v="Focused Funds"/>
    <n v="5.2"/>
    <n v="33.700000000000003"/>
    <n v="13.1"/>
  </r>
  <r>
    <s v="Quant Infrastructure Fund"/>
    <n v="1000"/>
    <n v="5000"/>
    <n v="0.64"/>
    <n v="822"/>
    <n v="10"/>
    <s v="Vasav Sahgal"/>
    <n v="3.44"/>
    <n v="27.24"/>
    <n v="19.239999999999998"/>
    <n v="0.53"/>
    <n v="2.2999999999999998"/>
    <n v="6"/>
    <s v="Quant Mutual Fund"/>
    <n v="5"/>
    <s v="Equity"/>
    <s v="Sectoral / Thematic Mutual Funds"/>
    <n v="5.6"/>
    <n v="61.5"/>
    <n v="21.1"/>
  </r>
  <r>
    <s v="Quant Large and Mid Cap Fund"/>
    <n v="1000"/>
    <n v="5000"/>
    <n v="0.56000000000000005"/>
    <n v="652"/>
    <n v="10"/>
    <s v="Sanjeev Sharma"/>
    <n v="3.12"/>
    <n v="6.57"/>
    <n v="17.72"/>
    <n v="0.88"/>
    <n v="1.51"/>
    <n v="6"/>
    <s v="Quant Mutual Fund"/>
    <n v="5"/>
    <s v="Equity"/>
    <s v="Large &amp; Mid Cap Funds"/>
    <n v="6.9"/>
    <n v="33"/>
    <n v="14.2"/>
  </r>
  <r>
    <s v="Quant Liquid Plan â€“ Direct Growth"/>
    <n v="1000"/>
    <n v="5000"/>
    <n v="0.28999999999999998"/>
    <n v="1561"/>
    <n v="10"/>
    <s v="Sanjeev Sharma"/>
    <n v="8.6"/>
    <n v="1.58"/>
    <n v="0.27"/>
    <n v="0.47"/>
    <n v="3.52"/>
    <n v="2"/>
    <s v="Quant Mutual Fund"/>
    <n v="5"/>
    <s v="Debt"/>
    <s v="Liquid Mutual Funds"/>
    <n v="5.6"/>
    <n v="4.9000000000000004"/>
    <n v="5.9"/>
  </r>
  <r>
    <s v="Quant Mid Cap Fund"/>
    <n v="1000"/>
    <n v="5000"/>
    <n v="0.63"/>
    <n v="1550"/>
    <n v="10"/>
    <s v="Sanjeev Sharma"/>
    <n v="3.58"/>
    <n v="11.21"/>
    <n v="18.73"/>
    <n v="0.86"/>
    <n v="1.95"/>
    <n v="6"/>
    <s v="Quant Mutual Fund"/>
    <n v="5"/>
    <s v="Equity"/>
    <s v="Mid Cap Mutual Funds"/>
    <n v="8.8000000000000007"/>
    <n v="45.1"/>
    <n v="19.8"/>
  </r>
  <r>
    <s v="Quant Multi Asset Fund"/>
    <n v="1000"/>
    <n v="5000"/>
    <n v="0.56000000000000005"/>
    <n v="634"/>
    <n v="10"/>
    <s v="Vasav Sahgal"/>
    <n v="3.23"/>
    <n v="19.52"/>
    <n v="18.63"/>
    <n v="0.75"/>
    <n v="1.79"/>
    <n v="6"/>
    <s v="Quant Mutual Fund"/>
    <n v="5"/>
    <s v="Hybrid"/>
    <s v="Multi Asset Allocation Mutual Funds"/>
    <n v="10.6"/>
    <n v="42.6"/>
    <n v="20.5"/>
  </r>
  <r>
    <s v="Quant Small Cap Fund"/>
    <n v="1000"/>
    <n v="5000"/>
    <n v="0.64"/>
    <n v="3301"/>
    <n v="10"/>
    <s v="Sanjeev Sharma"/>
    <n v="3.71"/>
    <n v="19.16"/>
    <n v="24.75"/>
    <n v="0.99"/>
    <n v="2.11"/>
    <n v="6"/>
    <s v="Quant Mutual Fund"/>
    <n v="5"/>
    <s v="Equity"/>
    <s v="Small Cap Mutual Funds"/>
    <n v="5.4"/>
    <n v="71.400000000000006"/>
    <n v="23.2"/>
  </r>
  <r>
    <s v="Quant Tax Plan- Direct Growth"/>
    <n v="500"/>
    <n v="500"/>
    <n v="0.56999999999999995"/>
    <n v="2779"/>
    <n v="10"/>
    <s v="Vasav Sahgal"/>
    <n v="3.5"/>
    <n v="17.63"/>
    <n v="19.739999999999998"/>
    <n v="0.96"/>
    <n v="2.0299999999999998"/>
    <n v="6"/>
    <s v="Quant Mutual Fund"/>
    <n v="5"/>
    <s v="Equity"/>
    <s v="ELSS Mutual Funds"/>
    <n v="0.9"/>
    <n v="54.9"/>
    <n v="22.2"/>
  </r>
  <r>
    <s v="Quantum Dynamic Bond Fund"/>
    <n v="500"/>
    <n v="500"/>
    <n v="0.61"/>
    <n v="85"/>
    <n v="8"/>
    <s v="Pankaj Pathak"/>
    <n v="1.05"/>
    <n v="0.93"/>
    <n v="1.77"/>
    <n v="0.83"/>
    <n v="0.66"/>
    <n v="3"/>
    <s v="Quantum Mutual Fund"/>
    <n v="3"/>
    <s v="Debt"/>
    <s v="Dynamic Bond"/>
    <n v="5.4"/>
    <n v="5.9"/>
    <n v="6.9"/>
  </r>
  <r>
    <s v="Quantum Equity Fund"/>
    <n v="500"/>
    <n v="500"/>
    <n v="0.51"/>
    <n v="88"/>
    <n v="14"/>
    <s v="Chirag Mehta"/>
    <n v="3.01"/>
    <n v="-0.78"/>
    <n v="14.75"/>
    <n v="0.86"/>
    <n v="1.32"/>
    <n v="6"/>
    <s v="Quantum Mutual Fund"/>
    <n v="2"/>
    <s v="Other"/>
    <s v="FoFs Domestic"/>
    <n v="-0.5"/>
    <n v="22.9"/>
    <n v="9.1"/>
  </r>
  <r>
    <s v="Quantum Gold Savings Fund"/>
    <n v="500"/>
    <n v="500"/>
    <n v="0.06"/>
    <n v="83"/>
    <n v="12"/>
    <s v="Chirag Mehta"/>
    <n v="0.98"/>
    <n v="-0.98"/>
    <n v="13.78"/>
    <n v="0.99"/>
    <n v="0.44"/>
    <n v="5"/>
    <s v="Quantum Mutual Fund"/>
    <n v="1"/>
    <s v="Other"/>
    <s v="FoFs Domestic"/>
    <n v="14.3"/>
    <n v="11.7"/>
    <n v="13"/>
  </r>
  <r>
    <s v="Quantum Liquid Fund"/>
    <n v="500"/>
    <n v="5000"/>
    <n v="0.15"/>
    <n v="628"/>
    <n v="17"/>
    <s v="Pankaj Pathak"/>
    <n v="0.92"/>
    <n v="0.94"/>
    <n v="0.36"/>
    <n v="0.65"/>
    <n v="0.19"/>
    <n v="1"/>
    <s v="Quantum Mutual Fund"/>
    <n v="2"/>
    <s v="Debt"/>
    <s v="Liquid Mutual Funds"/>
    <n v="5.4"/>
    <n v="4"/>
    <n v="4.9000000000000004"/>
  </r>
  <r>
    <s v="Quantum Long Term Equity Value Fund"/>
    <n v="500"/>
    <n v="500"/>
    <n v="1.29"/>
    <n v="837"/>
    <n v="17"/>
    <s v="George Thomas"/>
    <n v="3"/>
    <n v="2.04"/>
    <n v="15.72"/>
    <n v="0.9"/>
    <n v="1.42"/>
    <n v="6"/>
    <s v="Quantum Mutual Fund"/>
    <n v="2"/>
    <s v="Equity"/>
    <s v="Value Funds"/>
    <n v="2.4"/>
    <n v="26.5"/>
    <n v="8.8000000000000007"/>
  </r>
  <r>
    <s v="Quantum Multi Asset Fund"/>
    <n v="500"/>
    <n v="500"/>
    <n v="0.1"/>
    <n v="49"/>
    <n v="11"/>
    <s v="Chirag Mehta"/>
    <n v="3.12"/>
    <n v="0.61"/>
    <n v="6.73"/>
    <n v="0.42"/>
    <n v="1.24"/>
    <n v="4"/>
    <s v="Quantum Mutual Fund"/>
    <n v="3"/>
    <s v="Other"/>
    <s v="FoFs Domestic"/>
    <n v="5.5"/>
    <n v="12.4"/>
    <n v="8.1"/>
  </r>
  <r>
    <s v="Quantum Tax Saving Fund"/>
    <n v="500"/>
    <n v="500"/>
    <n v="1.29"/>
    <n v="115"/>
    <n v="14"/>
    <s v="Christy Mathai"/>
    <n v="3.04"/>
    <n v="1.68"/>
    <n v="15.47"/>
    <n v="0.88"/>
    <n v="1.44"/>
    <n v="6"/>
    <s v="Quantum Mutual Fund"/>
    <n v="3"/>
    <s v="Equity"/>
    <s v="ELSS Mutual Funds"/>
    <n v="2.9"/>
    <n v="26.6"/>
    <n v="8.9"/>
  </r>
  <r>
    <s v="SBI Arbitrage Opportunities Fund"/>
    <n v="500"/>
    <n v="5000"/>
    <n v="0.36"/>
    <n v="8800"/>
    <n v="10"/>
    <s v="Neeraj Kumar"/>
    <n v="0.93"/>
    <n v="1.18"/>
    <n v="0.76"/>
    <n v="0.45"/>
    <n v="0.77"/>
    <n v="1"/>
    <s v="SBI Mutual Fund"/>
    <n v="2"/>
    <s v="Hybrid"/>
    <s v="Arbitrage Mutual Funds"/>
    <n v="5.8"/>
    <n v="4.5"/>
    <n v="5.4"/>
  </r>
  <r>
    <s v="SBI Banking &amp; Financial Services Fund"/>
    <n v="500"/>
    <n v="5000"/>
    <n v="0.78"/>
    <n v="3747"/>
    <n v="8"/>
    <s v="Milind Agrawal"/>
    <n v="1.98"/>
    <n v="0.4"/>
    <n v="22.28"/>
    <n v="0.85"/>
    <n v="0.95"/>
    <n v="6"/>
    <s v="SBI Mutual Fund"/>
    <n v="5"/>
    <s v="Equity"/>
    <s v="Sectoral / Thematic Mutual Funds"/>
    <n v="5.5"/>
    <n v="22.4"/>
    <n v="12.5"/>
  </r>
  <r>
    <s v="SBI Banking and PSU Fund"/>
    <n v="500"/>
    <n v="5000"/>
    <n v="0.35"/>
    <n v="4982"/>
    <n v="10"/>
    <s v="Rajeev Radhakrishnan"/>
    <n v="1.17"/>
    <n v="4.72"/>
    <n v="2.06"/>
    <n v="2.4"/>
    <n v="0.73"/>
    <n v="3"/>
    <s v="SBI Mutual Fund"/>
    <n v="2"/>
    <s v="Debt"/>
    <s v="Banking and PSU Mutual Funds"/>
    <n v="3.8"/>
    <n v="6.2"/>
    <n v="7"/>
  </r>
  <r>
    <s v="SBI BlueChip Fund"/>
    <n v="500"/>
    <n v="5000"/>
    <n v="0.9"/>
    <n v="33987"/>
    <n v="10"/>
    <s v="Sohini Andani"/>
    <n v="3.98"/>
    <n v="1.08"/>
    <n v="16.39"/>
    <n v="0.96"/>
    <n v="1.39"/>
    <n v="6"/>
    <s v="SBI Mutual Fund"/>
    <n v="3"/>
    <s v="Equity"/>
    <s v="Large Cap Mutual Funds"/>
    <n v="4.2"/>
    <n v="27"/>
    <n v="11.4"/>
  </r>
  <r>
    <s v="SBI Conservative Hybrid Fund"/>
    <n v="500"/>
    <n v="5000"/>
    <n v="0.56999999999999995"/>
    <n v="7250"/>
    <n v="10"/>
    <s v="Saurabh Pant"/>
    <n v="4.24"/>
    <n v="5.19"/>
    <n v="4.1100000000000003"/>
    <n v="0.56000000000000005"/>
    <n v="2.23"/>
    <n v="5"/>
    <s v="SBI Mutual Fund"/>
    <n v="4"/>
    <s v="Hybrid"/>
    <s v="Conservative Hybrid Mutual Funds"/>
    <n v="6.2"/>
    <n v="13.8"/>
    <n v="8.8000000000000007"/>
  </r>
  <r>
    <s v="SBI Consumption Opportunities Fund"/>
    <n v="500"/>
    <n v="5000"/>
    <n v="1.18"/>
    <n v="1185"/>
    <n v="10"/>
    <s v="Saurabh Pant"/>
    <n v="3.65"/>
    <n v="10.039999999999999"/>
    <n v="15.53"/>
    <n v="0.76"/>
    <n v="1.77"/>
    <n v="6"/>
    <s v="SBI Mutual Fund"/>
    <n v="4"/>
    <s v="Equity"/>
    <s v="Sectoral / Thematic Mutual Funds"/>
    <n v="11.1"/>
    <n v="31"/>
    <n v="12.7"/>
  </r>
  <r>
    <s v="SBI Contra Fund"/>
    <n v="500"/>
    <n v="5000"/>
    <n v="0.91"/>
    <n v="8340"/>
    <n v="10"/>
    <s v="Dinesh Balachandran"/>
    <n v="4.43"/>
    <n v="15.26"/>
    <n v="16.559999999999999"/>
    <n v="0.89"/>
    <n v="2.13"/>
    <n v="6"/>
    <s v="SBI Mutual Fund"/>
    <n v="5"/>
    <s v="Equity"/>
    <s v="Contra Funds"/>
    <n v="15"/>
    <n v="43.4"/>
    <n v="15.6"/>
  </r>
  <r>
    <s v="SBI Corporate Bond Fund"/>
    <n v="500"/>
    <n v="5000"/>
    <n v="0.34"/>
    <n v="16551"/>
    <n v="4"/>
    <s v="Rajeev Radhakrishnan"/>
    <n v="1.54"/>
    <n v="1.51"/>
    <n v="1.88"/>
    <n v="0.75"/>
    <n v="0.92"/>
    <n v="2"/>
    <s v="SBI Mutual Fund"/>
    <n v="3"/>
    <s v="Debt"/>
    <s v="Corporate Bond Mutual Funds"/>
    <n v="4.0999999999999996"/>
    <n v="6.4"/>
    <m/>
  </r>
  <r>
    <s v="SBI Credit Risk Fund"/>
    <n v="500"/>
    <n v="10000"/>
    <n v="0.92"/>
    <n v="2782"/>
    <n v="10"/>
    <s v="Lokesh Mallya"/>
    <n v="2.0499999999999998"/>
    <n v="2.96"/>
    <n v="1.82"/>
    <n v="0.17"/>
    <n v="1.5"/>
    <n v="5"/>
    <s v="SBI Mutual Fund"/>
    <n v="3"/>
    <s v="Debt"/>
    <s v="Credit Risk Funds"/>
    <n v="5.2"/>
    <n v="7.2"/>
    <n v="7"/>
  </r>
  <r>
    <s v="SBI Dynamic Bond Fund"/>
    <n v="500"/>
    <n v="5000"/>
    <n v="0.87"/>
    <n v="2407"/>
    <n v="10"/>
    <s v="Dinesh Ahuja"/>
    <n v="0.88"/>
    <n v="1.34"/>
    <n v="2.4900000000000002"/>
    <n v="1.06"/>
    <n v="0.66"/>
    <n v="3"/>
    <s v="SBI Mutual Fund"/>
    <n v="4"/>
    <s v="Debt"/>
    <s v="Dynamic Bond"/>
    <n v="5.9"/>
    <n v="5.9"/>
    <n v="7.9"/>
  </r>
  <r>
    <s v="SBI Equity Hybrid Fund"/>
    <n v="500"/>
    <n v="1000"/>
    <n v="0.79"/>
    <n v="54492"/>
    <n v="10"/>
    <s v="R Srinivasan"/>
    <n v="2.77"/>
    <n v="0.1"/>
    <n v="11.8"/>
    <n v="0.79"/>
    <n v="1.25"/>
    <n v="6"/>
    <s v="SBI Mutual Fund"/>
    <n v="3"/>
    <s v="Hybrid"/>
    <s v="Aggressive Hybrid Mutual Funds"/>
    <n v="-1.9"/>
    <n v="18.399999999999999"/>
    <n v="10.8"/>
  </r>
  <r>
    <s v="SBI Equity Minimum Variance â€“ Direct Growth"/>
    <n v="500"/>
    <n v="5000"/>
    <n v="0.42"/>
    <n v="134"/>
    <n v="4"/>
    <s v="Raviprakash Sharma"/>
    <n v="3.09"/>
    <n v="2.72"/>
    <n v="14.84"/>
    <n v="0.81"/>
    <n v="1.47"/>
    <n v="6"/>
    <s v="SBI Mutual Fund"/>
    <n v="0"/>
    <s v="Equity"/>
    <s v="Sectoral / Thematic Mutual Funds"/>
    <n v="4.9000000000000004"/>
    <n v="27"/>
    <m/>
  </r>
  <r>
    <s v="SBI Long Term Advantage Fund"/>
    <n v="0"/>
    <n v="500"/>
    <n v="1.76"/>
    <n v="30"/>
    <n v="8"/>
    <s v="R Srinivasan"/>
    <n v="3.76"/>
    <n v="9.7200000000000006"/>
    <n v="15.74"/>
    <n v="0.83"/>
    <n v="1.85"/>
    <n v="4"/>
    <s v="SBI Mutual Fund"/>
    <n v="0"/>
    <s v="Equity"/>
    <s v="ELSS Mutual Funds"/>
    <n v="0.5"/>
    <n v="35.5"/>
    <n v="14.5"/>
  </r>
  <r>
    <s v="SBI Long Term Advantage Fund"/>
    <n v="0"/>
    <n v="500"/>
    <n v="1.76"/>
    <n v="36"/>
    <n v="8"/>
    <s v="R Srinivasan"/>
    <n v="3.69"/>
    <n v="10.17"/>
    <n v="15.98"/>
    <n v="0.84"/>
    <n v="1.87"/>
    <n v="4"/>
    <s v="SBI Mutual Fund"/>
    <n v="0"/>
    <s v="Equity"/>
    <s v="ELSS Mutual Funds"/>
    <n v="1"/>
    <n v="36.4"/>
    <n v="14"/>
  </r>
  <r>
    <s v="SBI Long Term Advantage Fund"/>
    <n v="0"/>
    <n v="500"/>
    <n v="1.76"/>
    <n v="222"/>
    <n v="5"/>
    <s v="R Srinivasan"/>
    <n v="3.73"/>
    <n v="4.5199999999999996"/>
    <n v="15.18"/>
    <n v="0.84"/>
    <n v="1.61"/>
    <n v="4"/>
    <s v="SBI Mutual Fund"/>
    <n v="0"/>
    <s v="Equity"/>
    <s v="ELSS Mutual Funds"/>
    <n v="4.5"/>
    <n v="28.2"/>
    <m/>
  </r>
  <r>
    <s v="SBI Long Term Advantage Fund"/>
    <n v="0"/>
    <n v="500"/>
    <n v="1.76"/>
    <n v="278"/>
    <n v="5"/>
    <s v="R Srinivasan"/>
    <n v="3.18"/>
    <n v="-0.17"/>
    <n v="15.54"/>
    <n v="0.88"/>
    <n v="1.32"/>
    <n v="4"/>
    <s v="SBI Mutual Fund"/>
    <n v="0"/>
    <s v="Equity"/>
    <s v="ELSS Mutual Funds"/>
    <n v="-2.7"/>
    <n v="25.1"/>
    <m/>
  </r>
  <r>
    <s v="SBI Long Term Equity Fund"/>
    <n v="500"/>
    <n v="500"/>
    <n v="1.07"/>
    <n v="12158"/>
    <n v="10"/>
    <s v="Dinesh Balachandran"/>
    <n v="3.21"/>
    <n v="3.78"/>
    <n v="15.64"/>
    <n v="0.9"/>
    <n v="1.59"/>
    <n v="6"/>
    <s v="SBI Mutual Fund"/>
    <n v="3"/>
    <s v="Equity"/>
    <s v="ELSS Mutual Funds"/>
    <n v="8.6999999999999993"/>
    <n v="30.1"/>
    <n v="11.6"/>
  </r>
  <r>
    <s v="SBI Magnum Childrenâ€™s Benefit Fund"/>
    <n v="500"/>
    <n v="5000"/>
    <n v="0.86"/>
    <n v="89"/>
    <n v="10"/>
    <s v="Rajeev Radhakrishnan"/>
    <n v="3.92"/>
    <n v="6.29"/>
    <n v="6.03"/>
    <n v="0.56999999999999995"/>
    <n v="1.72"/>
    <n v="4"/>
    <s v="SBI Mutual Fund"/>
    <n v="4"/>
    <s v="Solution Oriented"/>
    <s v="Childrens Funds"/>
    <n v="3.1"/>
    <n v="15.2"/>
    <n v="8.3000000000000007"/>
  </r>
  <r>
    <s v="SBI Magnum Comma Fund"/>
    <n v="500"/>
    <n v="5000"/>
    <n v="2.0299999999999998"/>
    <n v="417"/>
    <n v="10"/>
    <s v="Richard Dsouza"/>
    <n v="2.37"/>
    <n v="1.41"/>
    <n v="21.13"/>
    <n v="1.06"/>
    <n v="1.24"/>
    <n v="6"/>
    <s v="SBI Mutual Fund"/>
    <n v="0"/>
    <s v="Equity"/>
    <s v="Sectoral / Thematic Mutual Funds"/>
    <n v="-12.1"/>
    <n v="30.9"/>
    <n v="11.3"/>
  </r>
  <r>
    <s v="SBI Magnum Equity ESG Fund"/>
    <n v="500"/>
    <n v="1000"/>
    <n v="1.35"/>
    <n v="4456"/>
    <n v="10"/>
    <s v="Rohit Shimpi"/>
    <n v="2.88"/>
    <n v="-0.26"/>
    <n v="15.89"/>
    <n v="0.92"/>
    <n v="1.29"/>
    <n v="6"/>
    <s v="SBI Mutual Fund"/>
    <n v="0"/>
    <s v="Equity"/>
    <s v="Sectoral / Thematic Mutual Funds"/>
    <n v="-2.7"/>
    <n v="24.2"/>
    <n v="12.2"/>
  </r>
  <r>
    <s v="SBI Magnum Gilt Fund"/>
    <n v="500"/>
    <n v="5000"/>
    <n v="0.46"/>
    <n v="4301"/>
    <n v="10"/>
    <s v="Dinesh Ahuja"/>
    <n v="1.1000000000000001"/>
    <n v="1.45"/>
    <n v="2.66"/>
    <n v="0.53"/>
    <n v="0.77"/>
    <n v="3"/>
    <s v="SBI Mutual Fund"/>
    <n v="5"/>
    <s v="Debt"/>
    <s v="Gilt Mutual Funds"/>
    <n v="5.7"/>
    <n v="6.1"/>
    <n v="8.3000000000000007"/>
  </r>
  <r>
    <s v="SBI Magnum Global Fund"/>
    <n v="500"/>
    <n v="5000"/>
    <n v="1.25"/>
    <n v="5257"/>
    <n v="10"/>
    <s v="R Srinivasan"/>
    <n v="2.42"/>
    <n v="3.66"/>
    <n v="13.28"/>
    <n v="0.64"/>
    <n v="1.42"/>
    <n v="6"/>
    <s v="SBI Mutual Fund"/>
    <n v="0"/>
    <s v="Equity"/>
    <s v="Sectoral / Thematic Mutual Funds"/>
    <n v="1.6"/>
    <n v="24.1"/>
    <n v="11.5"/>
  </r>
  <r>
    <s v="SBI Magnum Income Fund"/>
    <n v="500"/>
    <n v="5000"/>
    <n v="0.8"/>
    <n v="1510"/>
    <n v="10"/>
    <s v="Dinesh Ahuja"/>
    <n v="1.56"/>
    <n v="1.92"/>
    <n v="2.35"/>
    <n v="1.04"/>
    <n v="0.94"/>
    <n v="4"/>
    <s v="SBI Mutual Fund"/>
    <n v="4"/>
    <s v="Debt"/>
    <s v="Medium to Long Duration Funds"/>
    <n v="4.8"/>
    <n v="6.9"/>
    <n v="7.8"/>
  </r>
  <r>
    <s v="SBI Magnum Low Duration Fund"/>
    <n v="500"/>
    <n v="5000"/>
    <n v="0.4"/>
    <n v="7717"/>
    <n v="10"/>
    <s v="Rajeev Radhakrishnan"/>
    <n v="3.47"/>
    <n v="3.11"/>
    <n v="0.8"/>
    <n v="1.37"/>
    <n v="1.58"/>
    <n v="3"/>
    <s v="SBI Mutual Fund"/>
    <n v="3"/>
    <s v="Debt"/>
    <s v="Low Duration Funds"/>
    <n v="5.2"/>
    <n v="5.6"/>
    <n v="6.4"/>
  </r>
  <r>
    <s v="SBI Magnum Medium Duration Fund"/>
    <n v="500"/>
    <n v="5000"/>
    <n v="0.69"/>
    <n v="7087"/>
    <n v="10"/>
    <s v="Dinesh Ahuja"/>
    <n v="2.0499999999999998"/>
    <n v="2.34"/>
    <n v="2.19"/>
    <n v="0.87"/>
    <n v="1.18"/>
    <n v="4"/>
    <s v="SBI Mutual Fund"/>
    <n v="4"/>
    <s v="Debt"/>
    <s v="Medium Duration Funds"/>
    <n v="4.5999999999999996"/>
    <n v="7.2"/>
    <n v="7.9"/>
  </r>
  <r>
    <s v="SBI Magnum Midcap Fund"/>
    <n v="500"/>
    <n v="5000"/>
    <n v="0.97"/>
    <n v="8732"/>
    <n v="10"/>
    <s v="Sohini Andani"/>
    <n v="3.93"/>
    <n v="5.5"/>
    <n v="17.149999999999999"/>
    <n v="0.91"/>
    <n v="1.89"/>
    <n v="6"/>
    <s v="SBI Mutual Fund"/>
    <n v="4"/>
    <s v="Equity"/>
    <s v="Mid Cap Mutual Funds"/>
    <n v="6.4"/>
    <n v="37"/>
    <n v="13.5"/>
  </r>
  <r>
    <s v="SBI Magnum Ultra Short Duration Fund"/>
    <n v="2000"/>
    <n v="5000"/>
    <n v="0.31"/>
    <n v="8907"/>
    <n v="10"/>
    <s v="R Arun"/>
    <n v="3.14"/>
    <n v="2.4700000000000002"/>
    <n v="0.57999999999999996"/>
    <n v="1.2"/>
    <n v="1.49"/>
    <n v="2"/>
    <s v="SBI Mutual Fund"/>
    <n v="2"/>
    <s v="Debt"/>
    <s v="Ultra Short Duration Funds"/>
    <n v="5.2"/>
    <n v="5.0999999999999996"/>
    <n v="6.1"/>
  </r>
  <r>
    <s v="SBI Multi Asset Allocation Fund"/>
    <n v="500"/>
    <n v="5000"/>
    <n v="0.88"/>
    <n v="609"/>
    <n v="10"/>
    <s v="Dinesh Balachandran"/>
    <n v="2.98"/>
    <n v="2.1800000000000002"/>
    <n v="8.1999999999999993"/>
    <n v="0.48"/>
    <n v="1.35"/>
    <n v="6"/>
    <s v="SBI Mutual Fund"/>
    <n v="3"/>
    <s v="Hybrid"/>
    <s v="Multi Asset Allocation Mutual Funds"/>
    <n v="5.9"/>
    <n v="16.100000000000001"/>
    <n v="9.6"/>
  </r>
  <r>
    <s v="SBI Nifty Index Fund"/>
    <n v="500"/>
    <n v="5000"/>
    <n v="0.18"/>
    <n v="3324"/>
    <n v="10"/>
    <s v="Raviprakash Sharma"/>
    <n v="3.47"/>
    <n v="-0.69"/>
    <n v="16.8"/>
    <n v="1"/>
    <n v="1.31"/>
    <n v="6"/>
    <s v="SBI Mutual Fund"/>
    <n v="3"/>
    <s v="Other"/>
    <s v="Index Funds"/>
    <n v="0.9"/>
    <n v="26"/>
    <n v="11.8"/>
  </r>
  <r>
    <s v="SBI Overnight Fund"/>
    <n v="2000"/>
    <n v="5000"/>
    <n v="0.1"/>
    <n v="19888"/>
    <n v="10"/>
    <s v="R Arun"/>
    <n v="-0.25"/>
    <n v="0.56000000000000005"/>
    <n v="0.35"/>
    <n v="0.43"/>
    <n v="-0.05"/>
    <n v="1"/>
    <s v="SBI Mutual Fund"/>
    <n v="2"/>
    <s v="Debt"/>
    <s v="Overnight Mutual Funds"/>
    <n v="5.3"/>
    <n v="3.9"/>
    <n v="4.5999999999999996"/>
  </r>
  <r>
    <s v="SBI PSU Fund"/>
    <n v="500"/>
    <n v="5000"/>
    <n v="1.42"/>
    <n v="505"/>
    <n v="10"/>
    <s v="Richard Dsouza"/>
    <n v="2.3199999999999998"/>
    <n v="-0.18"/>
    <n v="19.98"/>
    <n v="0.78"/>
    <n v="1.1000000000000001"/>
    <n v="6"/>
    <s v="SBI Mutual Fund"/>
    <n v="0"/>
    <s v="Equity"/>
    <s v="Sectoral / Thematic Mutual Funds"/>
    <n v="16"/>
    <n v="26.3"/>
    <n v="7.4"/>
  </r>
  <r>
    <s v="SBI Savings Fund"/>
    <n v="500"/>
    <n v="500"/>
    <n v="0.23"/>
    <n v="19441"/>
    <n v="10"/>
    <s v="R Arun"/>
    <n v="4.0999999999999996"/>
    <n v="2.73"/>
    <n v="0.59"/>
    <n v="1.19"/>
    <n v="1.93"/>
    <n v="3"/>
    <s v="SBI Mutual Fund"/>
    <n v="3"/>
    <s v="Debt"/>
    <s v="Money Market Funds"/>
    <n v="5.5"/>
    <n v="5.3"/>
    <n v="6.2"/>
  </r>
  <r>
    <s v="SBI Short Term Debt Fund"/>
    <n v="500"/>
    <n v="5000"/>
    <n v="0.35"/>
    <n v="13289"/>
    <n v="10"/>
    <s v="Rajeev Radhakrishnan"/>
    <n v="1.57"/>
    <n v="5"/>
    <n v="1.7"/>
    <n v="2.44"/>
    <n v="1.02"/>
    <n v="2"/>
    <s v="SBI Mutual Fund"/>
    <n v="3"/>
    <s v="Debt"/>
    <s v="Short Duration Funds"/>
    <n v="4.5999999999999996"/>
    <n v="6.4"/>
    <n v="6.8"/>
  </r>
  <r>
    <s v="SBI Small Cap Fund"/>
    <n v="500"/>
    <n v="5000"/>
    <n v="0.7"/>
    <n v="15395"/>
    <n v="10"/>
    <s v="R Srinivasan"/>
    <n v="4.07"/>
    <n v="6.48"/>
    <n v="16.809999999999999"/>
    <n v="0.75"/>
    <n v="1.88"/>
    <n v="6"/>
    <s v="SBI Mutual Fund"/>
    <n v="4"/>
    <s v="Equity"/>
    <s v="Small Cap Mutual Funds"/>
    <n v="8.1999999999999993"/>
    <n v="38.299999999999997"/>
    <n v="15.3"/>
  </r>
  <r>
    <s v="SBI Tax Advantage Fund"/>
    <n v="0"/>
    <n v="500"/>
    <n v="1.76"/>
    <n v="28"/>
    <n v="9"/>
    <s v="R Srinivasan"/>
    <n v="4.0999999999999996"/>
    <n v="9.9600000000000009"/>
    <n v="16.07"/>
    <n v="0.84"/>
    <n v="1.85"/>
    <n v="4"/>
    <s v="SBI Mutual Fund"/>
    <n v="0"/>
    <s v="Equity"/>
    <s v="ELSS Mutual Funds"/>
    <n v="1.9"/>
    <n v="41.1"/>
    <n v="21.8"/>
  </r>
  <r>
    <s v="SBI Technology Opportunities Fund"/>
    <n v="500"/>
    <n v="5000"/>
    <n v="0.87"/>
    <n v="2861"/>
    <n v="10"/>
    <s v="Saurabh Pant"/>
    <n v="2.36"/>
    <n v="8.3800000000000008"/>
    <n v="19.71"/>
    <n v="0.77"/>
    <n v="1.51"/>
    <n v="6"/>
    <s v="SBI Mutual Fund"/>
    <n v="0"/>
    <s v="Equity"/>
    <s v="Sectoral / Thematic Mutual Funds"/>
    <n v="-8.6999999999999993"/>
    <n v="37.1"/>
    <n v="21"/>
  </r>
  <r>
    <s v="Shriram Balanced Advantage Fund"/>
    <n v="1000"/>
    <n v="5000"/>
    <n v="0.6"/>
    <n v="48"/>
    <n v="4"/>
    <s v="Deepak Ramaraju"/>
    <n v="2.42"/>
    <n v="-0.22"/>
    <n v="7.82"/>
    <n v="0.53"/>
    <n v="1.22"/>
    <n v="6"/>
    <s v="Shriram Mutual Fund"/>
    <n v="3"/>
    <s v="Hybrid"/>
    <s v="Dynamic Asset Allocation or Balanced Advantage"/>
    <n v="2.9"/>
    <n v="13.9"/>
    <m/>
  </r>
  <r>
    <s v="Shriram Flexi Cap Fund"/>
    <n v="1000"/>
    <n v="5000"/>
    <n v="0.65"/>
    <n v="60"/>
    <n v="4"/>
    <s v="Deepak Ramaraju"/>
    <n v="2.74"/>
    <n v="-2.52"/>
    <n v="14.68"/>
    <n v="0.85"/>
    <n v="1.19"/>
    <n v="6"/>
    <s v="Shriram Mutual Fund"/>
    <n v="2"/>
    <s v="Equity"/>
    <s v="Flexi Cap Funds"/>
    <n v="1.4"/>
    <n v="21.5"/>
    <m/>
  </r>
  <r>
    <s v="Shriram Hybrid Equity Fund"/>
    <n v="1000"/>
    <n v="5000"/>
    <n v="0.65"/>
    <n v="56"/>
    <n v="9"/>
    <s v="Deepak Ramaraju"/>
    <n v="2.79"/>
    <n v="-1.5"/>
    <n v="11.64"/>
    <n v="0.81"/>
    <n v="1.1599999999999999"/>
    <n v="6"/>
    <s v="Shriram Mutual Fund"/>
    <n v="3"/>
    <s v="Hybrid"/>
    <s v="Aggressive Hybrid Mutual Funds"/>
    <n v="0.7"/>
    <n v="17.7"/>
    <n v="8.9"/>
  </r>
  <r>
    <s v="Shriram Long Term Equity Fund"/>
    <n v="500"/>
    <n v="500"/>
    <n v="0.6"/>
    <n v="36"/>
    <n v="4"/>
    <s v="Deepak Ramaraju"/>
    <n v="2.37"/>
    <n v="-3.01"/>
    <n v="14.39"/>
    <n v="0.83"/>
    <n v="1.1399999999999999"/>
    <n v="6"/>
    <s v="Shriram Mutual Fund"/>
    <n v="3"/>
    <s v="Equity"/>
    <s v="ELSS Mutual Funds"/>
    <n v="0.8"/>
    <n v="20.100000000000001"/>
    <m/>
  </r>
  <r>
    <s v="Sundaram Aggressive Hybrid Fund"/>
    <n v="100"/>
    <n v="100"/>
    <n v="0.67"/>
    <n v="2981"/>
    <n v="10"/>
    <s v="S Bharath"/>
    <n v="4.1100000000000003"/>
    <n v="2.31"/>
    <n v="11.63"/>
    <n v="0.8"/>
    <n v="1.46"/>
    <n v="5"/>
    <s v="Sundaram Mutual Fund"/>
    <n v="4"/>
    <s v="Hybrid"/>
    <s v="Aggressive Hybrid Mutual Funds"/>
    <n v="1.2"/>
    <n v="21.7"/>
    <n v="9.6999999999999993"/>
  </r>
  <r>
    <s v="Sundaram Arbitrage Fund"/>
    <n v="500"/>
    <n v="100"/>
    <n v="0.28000000000000003"/>
    <n v="108"/>
    <n v="7"/>
    <s v="Rohit Seksaria"/>
    <n v="0.48"/>
    <n v="0.75"/>
    <n v="0.7"/>
    <n v="0.39"/>
    <n v="0.33"/>
    <n v="2"/>
    <s v="Sundaram Mutual Fund"/>
    <n v="1"/>
    <s v="Hybrid"/>
    <s v="Arbitrage Mutual Funds"/>
    <n v="5.3"/>
    <n v="3.3"/>
    <n v="2.8"/>
  </r>
  <r>
    <s v="Sundaram Balanced Advantage Fund"/>
    <n v="500"/>
    <n v="100"/>
    <n v="0.62"/>
    <n v="1532"/>
    <n v="10"/>
    <s v="S Bharath"/>
    <n v="3.24"/>
    <n v="2.13"/>
    <n v="7.66"/>
    <n v="0.51"/>
    <n v="1.51"/>
    <n v="4"/>
    <s v="Sundaram Mutual Fund"/>
    <n v="5"/>
    <s v="Hybrid"/>
    <s v="Dynamic Asset Allocation or Balanced Advantage"/>
    <n v="3.9"/>
    <n v="11.9"/>
    <n v="7.2"/>
  </r>
  <r>
    <s v="Sundaram Banking &amp; PSU Debt Fund"/>
    <n v="250"/>
    <n v="5000"/>
    <n v="0.19"/>
    <n v="450"/>
    <n v="10"/>
    <s v="Dwijendra Srivastava"/>
    <n v="0.73"/>
    <n v="3.49"/>
    <n v="1.35"/>
    <n v="2.13"/>
    <n v="0.48"/>
    <n v="2"/>
    <s v="Sundaram Mutual Fund"/>
    <n v="2"/>
    <s v="Debt"/>
    <s v="Banking and PSU Mutual Funds"/>
    <n v="3.5"/>
    <n v="5"/>
    <n v="6.1"/>
  </r>
  <r>
    <s v="Sundaram Consumption Fund"/>
    <n v="100"/>
    <n v="100"/>
    <n v="1.46"/>
    <n v="1106"/>
    <n v="10"/>
    <s v="Ratish Varier"/>
    <n v="3.32"/>
    <n v="0.56000000000000005"/>
    <n v="14.69"/>
    <n v="0.8"/>
    <n v="1.28"/>
    <n v="6"/>
    <s v="Sundaram Mutual Fund"/>
    <n v="2"/>
    <s v="Equity"/>
    <s v="Sectoral / Thematic Mutual Funds"/>
    <n v="7.3"/>
    <n v="22.5"/>
    <n v="8.8000000000000007"/>
  </r>
  <r>
    <s v="Sundaram Corporate Bond Fund"/>
    <n v="250"/>
    <n v="5000"/>
    <n v="0.28000000000000003"/>
    <n v="996"/>
    <n v="10"/>
    <s v="Dwijendra Srivastava"/>
    <n v="2.14"/>
    <n v="1.84"/>
    <n v="1.74"/>
    <n v="0.57999999999999996"/>
    <n v="1.1499999999999999"/>
    <n v="2"/>
    <s v="Sundaram Mutual Fund"/>
    <n v="4"/>
    <s v="Debt"/>
    <s v="Corporate Bond Mutual Funds"/>
    <n v="4.5"/>
    <n v="6.8"/>
    <n v="7.3"/>
  </r>
  <r>
    <s v="Sundaram Debt Oriented Hybrid Fund"/>
    <n v="100"/>
    <n v="5000"/>
    <n v="1.2"/>
    <n v="30"/>
    <n v="10"/>
    <s v="Dwijendra Srivastava"/>
    <n v="3.43"/>
    <n v="2.48"/>
    <n v="5.16"/>
    <n v="0.62"/>
    <n v="1.33"/>
    <n v="3"/>
    <s v="Sundaram Mutual Fund"/>
    <n v="2"/>
    <s v="Hybrid"/>
    <s v="Conservative Hybrid Mutual Funds"/>
    <n v="4.0999999999999996"/>
    <n v="11.6"/>
    <n v="6.2"/>
  </r>
  <r>
    <s v="Sundaram Diversified Equity â€“ Direct Growth"/>
    <n v="100"/>
    <n v="500"/>
    <n v="1.66"/>
    <n v="1623"/>
    <n v="10"/>
    <s v="Sudhir Kedia"/>
    <n v="3.5"/>
    <n v="0.65"/>
    <n v="15.5"/>
    <n v="0.9"/>
    <n v="1.41"/>
    <n v="6"/>
    <s v="Sundaram Mutual Fund"/>
    <n v="2"/>
    <s v="Equity"/>
    <s v="ELSS Mutual Funds"/>
    <n v="2.2000000000000002"/>
    <n v="26.1"/>
    <n v="8.9"/>
  </r>
  <r>
    <s v="Sundaram Dividend Yield Fund"/>
    <n v="500"/>
    <n v="5000"/>
    <n v="1.02"/>
    <n v="382"/>
    <n v="10"/>
    <s v="Ratish Varier"/>
    <n v="4.03"/>
    <n v="2.79"/>
    <n v="13.93"/>
    <n v="0.8"/>
    <n v="1.55"/>
    <n v="6"/>
    <s v="Sundaram Mutual Fund"/>
    <n v="0"/>
    <s v="Equity"/>
    <s v="Dividend Yield Funds"/>
    <n v="3.2"/>
    <n v="26.4"/>
    <n v="11.7"/>
  </r>
  <r>
    <s v="Sundaram Emerging Small Cap Series III â€“ Dir Growth"/>
    <n v="0"/>
    <n v="5000"/>
    <n v="0.75"/>
    <n v="297"/>
    <n v="5"/>
    <s v="Rohit Seksaria"/>
    <n v="4.45"/>
    <n v="8.84"/>
    <n v="19.13"/>
    <n v="0.86"/>
    <n v="1.97"/>
    <n v="2"/>
    <s v="Sundaram Mutual Fund"/>
    <n v="0"/>
    <s v="Equity"/>
    <s v="Small Cap Mutual Funds"/>
    <n v="9.4"/>
    <n v="43.7"/>
    <m/>
  </r>
  <r>
    <s v="Sundaram Emerging Small Cap Series IV â€“ Dir Growth"/>
    <n v="0"/>
    <n v="5000"/>
    <n v="0.75"/>
    <n v="208"/>
    <n v="5"/>
    <s v="Rohit Seksaria"/>
    <n v="4.29"/>
    <n v="7.54"/>
    <n v="18.88"/>
    <n v="0.85"/>
    <n v="1.9"/>
    <n v="4"/>
    <s v="Sundaram Mutual Fund"/>
    <n v="0"/>
    <s v="Equity"/>
    <s v="Small Cap Mutual Funds"/>
    <n v="6.7"/>
    <n v="41.4"/>
    <m/>
  </r>
  <r>
    <s v="Sundaram Emerging Small Cap Series V â€“ Dir Growth"/>
    <n v="0"/>
    <n v="5000"/>
    <n v="0.79"/>
    <n v="79"/>
    <n v="5"/>
    <s v="Rohit Seksaria"/>
    <n v="4.5599999999999996"/>
    <n v="8.3000000000000007"/>
    <n v="19.149999999999999"/>
    <n v="0.86"/>
    <n v="1.93"/>
    <n v="6"/>
    <s v="Sundaram Mutual Fund"/>
    <n v="0"/>
    <s v="Equity"/>
    <s v="Small Cap Mutual Funds"/>
    <n v="7.6"/>
    <n v="42.3"/>
    <m/>
  </r>
  <r>
    <s v="Sundaram Emerging Small Cap Series VI â€“ Dir Growth"/>
    <n v="0"/>
    <n v="5000"/>
    <n v="0.77"/>
    <n v="41"/>
    <n v="5"/>
    <s v="Rohit Seksaria"/>
    <n v="4.2699999999999996"/>
    <n v="8.43"/>
    <n v="18.61"/>
    <n v="0.84"/>
    <n v="1.95"/>
    <n v="6"/>
    <s v="Sundaram Mutual Fund"/>
    <n v="0"/>
    <s v="Equity"/>
    <s v="Small Cap Mutual Funds"/>
    <n v="7.8"/>
    <n v="41.9"/>
    <m/>
  </r>
  <r>
    <s v="Sundaram Emerging Small Cap Series VII â€“ Dir Growth"/>
    <n v="0"/>
    <n v="5000"/>
    <n v="0.97"/>
    <n v="141"/>
    <n v="4"/>
    <s v="Rohit Seksaria"/>
    <n v="3.95"/>
    <n v="6.51"/>
    <n v="17.13"/>
    <n v="0.76"/>
    <n v="1.86"/>
    <n v="6"/>
    <s v="Sundaram Mutual Fund"/>
    <n v="0"/>
    <s v="Equity"/>
    <s v="Small Cap Mutual Funds"/>
    <n v="8"/>
    <n v="36.9"/>
    <m/>
  </r>
  <r>
    <s v="Sundaram Equity Savings Fund"/>
    <n v="500"/>
    <n v="100"/>
    <n v="0.54"/>
    <n v="415"/>
    <n v="10"/>
    <s v="Sudhir Kedia"/>
    <n v="3.24"/>
    <n v="2.5"/>
    <n v="6.14"/>
    <n v="0.94"/>
    <n v="1.5"/>
    <n v="3"/>
    <s v="Sundaram Mutual Fund"/>
    <n v="4"/>
    <s v="Hybrid"/>
    <s v="Equity Savings Mutual Funds"/>
    <n v="3.9"/>
    <n v="16.8"/>
    <n v="9.9"/>
  </r>
  <r>
    <s v="Sundaram Fin Serv Opportunities â€“ Direct Growth"/>
    <n v="100"/>
    <n v="100"/>
    <n v="0.51"/>
    <n v="601"/>
    <n v="10"/>
    <s v="Rohit Seksaria"/>
    <n v="2.35"/>
    <n v="2.92"/>
    <n v="22.98"/>
    <n v="0.89"/>
    <n v="1.06"/>
    <n v="6"/>
    <s v="Sundaram Mutual Fund"/>
    <n v="4"/>
    <s v="Equity"/>
    <s v="Sectoral / Thematic Mutual Funds"/>
    <n v="11.4"/>
    <n v="25.9"/>
    <n v="12.6"/>
  </r>
  <r>
    <s v="Sundaram Focused Fund"/>
    <n v="100"/>
    <n v="300"/>
    <n v="1.2"/>
    <n v="771"/>
    <n v="10"/>
    <s v="Ravi Gopalakrishnan"/>
    <n v="2.4700000000000002"/>
    <n v="-1.91"/>
    <n v="16.55"/>
    <n v="0.94"/>
    <n v="1.22"/>
    <n v="6"/>
    <s v="Sundaram Mutual Fund"/>
    <n v="4"/>
    <s v="Equity"/>
    <s v="Focused Funds"/>
    <n v="-1.8"/>
    <n v="24.5"/>
    <n v="13.1"/>
  </r>
  <r>
    <s v="Sundaram Global Brand Fund"/>
    <n v="100"/>
    <n v="100"/>
    <n v="1.42"/>
    <n v="117"/>
    <n v="10"/>
    <s v="Rohit Seksaria"/>
    <n v="1.59"/>
    <s v="-"/>
    <n v="16.95"/>
    <s v="-"/>
    <n v="0.88"/>
    <n v="6"/>
    <s v="Sundaram Mutual Fund"/>
    <n v="0"/>
    <s v="Other"/>
    <s v="FoFs Overseas"/>
    <n v="2.4"/>
    <n v="20.5"/>
    <n v="7.7"/>
  </r>
  <r>
    <s v="Sundaram Infrastructure Advantage Fund"/>
    <n v="100"/>
    <n v="100"/>
    <n v="1.87"/>
    <n v="594"/>
    <n v="10"/>
    <s v="Ashish Aggarwal"/>
    <n v="2.9"/>
    <n v="6.79"/>
    <n v="18.260000000000002"/>
    <n v="0.68"/>
    <n v="1.55"/>
    <n v="6"/>
    <s v="Sundaram Mutual Fund"/>
    <n v="2"/>
    <s v="Equity"/>
    <s v="Sectoral / Thematic Mutual Funds"/>
    <n v="7.3"/>
    <n v="32.5"/>
    <n v="9.1"/>
  </r>
  <r>
    <s v="Sundaram Large and Mid Cap Fund"/>
    <n v="100"/>
    <n v="100"/>
    <n v="0.72"/>
    <n v="4885"/>
    <n v="10"/>
    <s v="Ravi Gopalakrishnan"/>
    <n v="3.07"/>
    <n v="1.94"/>
    <n v="16.28"/>
    <n v="0.93"/>
    <n v="1.43"/>
    <n v="6"/>
    <s v="Sundaram Mutual Fund"/>
    <n v="3"/>
    <s v="Equity"/>
    <s v="Large &amp; Mid Cap Funds"/>
    <n v="-1.3"/>
    <n v="25.4"/>
    <n v="11.7"/>
  </r>
  <r>
    <s v="Sundaram Large Cap Fund"/>
    <n v="100"/>
    <n v="100"/>
    <n v="0.6"/>
    <n v="2855"/>
    <n v="2"/>
    <s v="Sudhir Kedia"/>
    <n v="3.64"/>
    <n v="-0.51"/>
    <n v="15.44"/>
    <n v="0.91"/>
    <n v="1.3"/>
    <n v="6"/>
    <s v="Sundaram Mutual Fund"/>
    <n v="5"/>
    <s v="Equity"/>
    <s v="Large Cap Mutual Funds"/>
    <n v="0.9"/>
    <m/>
    <m/>
  </r>
  <r>
    <s v="Sundaram Liquid Fund"/>
    <n v="2000"/>
    <n v="1000"/>
    <n v="0.17"/>
    <n v="4169"/>
    <n v="10"/>
    <s v="Dwijendra Srivastava"/>
    <n v="4.8899999999999997"/>
    <n v="1.36"/>
    <n v="0.38"/>
    <n v="0.74"/>
    <n v="0.98"/>
    <n v="2"/>
    <s v="Sundaram Mutual Fund"/>
    <n v="4"/>
    <s v="Debt"/>
    <s v="Liquid Mutual Funds"/>
    <n v="5.7"/>
    <n v="4.2"/>
    <n v="3.3"/>
  </r>
  <r>
    <s v="Sundaram Low Duration Fund"/>
    <n v="2000"/>
    <n v="1000"/>
    <n v="0.33"/>
    <n v="433"/>
    <n v="10"/>
    <s v="Dwijendra Srivastava"/>
    <n v="3.93"/>
    <n v="1.44"/>
    <n v="4.28"/>
    <n v="-1.59"/>
    <n v="0.83"/>
    <n v="2"/>
    <s v="Sundaram Mutual Fund"/>
    <n v="2"/>
    <s v="Debt"/>
    <s v="Low Duration Funds"/>
    <n v="5.6"/>
    <n v="4.9000000000000004"/>
    <n v="1.8"/>
  </r>
  <r>
    <s v="Sundaram LT MC Tax Advantage Fund"/>
    <n v="0"/>
    <n v="500"/>
    <n v="1.22"/>
    <n v="27"/>
    <n v="6"/>
    <s v="Rohit Seksaria"/>
    <n v="3.85"/>
    <n v="13.85"/>
    <n v="20.25"/>
    <n v="0.98"/>
    <n v="1.82"/>
    <n v="6"/>
    <s v="Sundaram Mutual Fund"/>
    <n v="0"/>
    <s v="Equity"/>
    <s v="ELSS Mutual Funds"/>
    <n v="1.4"/>
    <n v="42.8"/>
    <n v="9.5"/>
  </r>
  <r>
    <s v="Sundaram LT MC Tax Advantage Fund"/>
    <n v="0"/>
    <n v="500"/>
    <n v="1.23"/>
    <n v="31"/>
    <n v="5"/>
    <s v="Rohit Seksaria"/>
    <n v="4.0999999999999996"/>
    <n v="15.38"/>
    <n v="20.47"/>
    <n v="0.98"/>
    <n v="1.88"/>
    <n v="6"/>
    <s v="Sundaram Mutual Fund"/>
    <n v="0"/>
    <s v="Equity"/>
    <s v="ELSS Mutual Funds"/>
    <n v="3.8"/>
    <n v="44.8"/>
    <n v="9.8000000000000007"/>
  </r>
  <r>
    <s v="Sundaram LT MC Tax Advantage Fund"/>
    <n v="0"/>
    <n v="500"/>
    <n v="1.26"/>
    <n v="62"/>
    <n v="6"/>
    <s v="Rohit Seksaria"/>
    <n v="3.89"/>
    <n v="13.76"/>
    <n v="19.920000000000002"/>
    <n v="0.95"/>
    <n v="1.81"/>
    <n v="6"/>
    <s v="Sundaram Mutual Fund"/>
    <n v="0"/>
    <s v="Equity"/>
    <s v="ELSS Mutual Funds"/>
    <n v="3.5"/>
    <n v="42.3"/>
    <n v="8.6"/>
  </r>
  <r>
    <s v="Sundaram LT Tax Advantage Fund"/>
    <n v="0"/>
    <n v="500"/>
    <n v="1.3"/>
    <n v="18"/>
    <n v="5"/>
    <s v="Rohit Seksaria"/>
    <n v="4.32"/>
    <n v="13.41"/>
    <n v="18.95"/>
    <n v="0.93"/>
    <n v="1.86"/>
    <n v="6"/>
    <s v="Sundaram Mutual Fund"/>
    <n v="0"/>
    <s v="Equity"/>
    <s v="ELSS Mutual Funds"/>
    <n v="5.4"/>
    <n v="46.9"/>
    <m/>
  </r>
  <r>
    <s v="Sundaram LT Tax Advantage Fund"/>
    <n v="0"/>
    <n v="500"/>
    <n v="1.2"/>
    <n v="10"/>
    <n v="7"/>
    <s v="Rohit Seksaria"/>
    <n v="3.46"/>
    <n v="2.08"/>
    <n v="16.02"/>
    <n v="0.94"/>
    <n v="1.51"/>
    <n v="6"/>
    <s v="Sundaram Mutual Fund"/>
    <n v="0"/>
    <s v="Equity"/>
    <s v="ELSS Mutual Funds"/>
    <n v="4"/>
    <n v="29.2"/>
    <n v="12.5"/>
  </r>
  <r>
    <s v="Sundaram LT Tax Advantage Fund"/>
    <n v="0"/>
    <n v="500"/>
    <n v="1.01"/>
    <n v="16"/>
    <n v="8"/>
    <s v="Rohit Seksaria"/>
    <n v="3.5"/>
    <n v="2.52"/>
    <n v="16.100000000000001"/>
    <n v="0.94"/>
    <n v="1.53"/>
    <n v="6"/>
    <s v="Sundaram Mutual Fund"/>
    <n v="0"/>
    <s v="Equity"/>
    <s v="ELSS Mutual Funds"/>
    <n v="4.4000000000000004"/>
    <n v="29.6"/>
    <n v="11.5"/>
  </r>
  <r>
    <s v="Sundaram Medium Term Bond Fund"/>
    <n v="250"/>
    <n v="5000"/>
    <n v="1.1100000000000001"/>
    <n v="45"/>
    <n v="10"/>
    <s v="Dwijendra Srivastava"/>
    <n v="0.08"/>
    <n v="-0.16"/>
    <n v="2.44"/>
    <n v="1.03"/>
    <n v="0.05"/>
    <n v="3"/>
    <s v="Sundaram Mutual Fund"/>
    <n v="2"/>
    <s v="Debt"/>
    <s v="Medium Duration Funds"/>
    <n v="2.5"/>
    <n v="5"/>
    <n v="5.3"/>
  </r>
  <r>
    <s v="Sundaram Mid Cap Fund"/>
    <n v="100"/>
    <n v="100"/>
    <n v="1.04"/>
    <n v="7048"/>
    <n v="10"/>
    <s v="S Bharath"/>
    <n v="3.74"/>
    <n v="-1.1399999999999999"/>
    <n v="16.07"/>
    <n v="0.87"/>
    <n v="1.53"/>
    <n v="6"/>
    <s v="Sundaram Mutual Fund"/>
    <n v="2"/>
    <s v="Equity"/>
    <s v="Mid Cap Mutual Funds"/>
    <n v="4.3"/>
    <n v="27.4"/>
    <n v="8.1999999999999993"/>
  </r>
  <r>
    <s v="Sundaram Money Market Fund"/>
    <n v="1000"/>
    <n v="1000"/>
    <n v="0.22"/>
    <n v="64"/>
    <n v="5"/>
    <s v="Sandeep Agarwal"/>
    <n v="4.91"/>
    <n v="1.87"/>
    <n v="0.44"/>
    <n v="0.96"/>
    <n v="1.34"/>
    <n v="1"/>
    <s v="Sundaram Mutual Fund"/>
    <n v="3"/>
    <s v="Debt"/>
    <s v="Money Market Funds"/>
    <n v="5.4"/>
    <n v="4.7"/>
    <m/>
  </r>
  <r>
    <s v="Sundaram Multi Cap Fund"/>
    <n v="100"/>
    <n v="100"/>
    <n v="0.97"/>
    <n v="1795"/>
    <n v="10"/>
    <s v="Sudhir Kedia"/>
    <n v="3.06"/>
    <n v="2.11"/>
    <n v="15.69"/>
    <n v="0.9"/>
    <n v="1.48"/>
    <n v="6"/>
    <s v="Sundaram Mutual Fund"/>
    <n v="3"/>
    <s v="Equity"/>
    <s v="Multi Cap Funds"/>
    <n v="-2.2000000000000002"/>
    <n v="28.1"/>
    <n v="11"/>
  </r>
  <r>
    <s v="Sundaram Multi Cap Fund"/>
    <n v="0"/>
    <n v="5000"/>
    <n v="0.79"/>
    <n v="84"/>
    <n v="5"/>
    <s v="Rohit Seksaria"/>
    <n v="3.45"/>
    <n v="0.55000000000000004"/>
    <n v="15.71"/>
    <n v="0.91"/>
    <n v="1.39"/>
    <n v="6"/>
    <s v="Sundaram Mutual Fund"/>
    <n v="0"/>
    <s v="Equity"/>
    <s v="Multi Cap Funds"/>
    <n v="1.5"/>
    <n v="25"/>
    <m/>
  </r>
  <r>
    <s v="Sundaram Multi Cap Fund"/>
    <n v="0"/>
    <n v="5000"/>
    <n v="0.79"/>
    <n v="143"/>
    <n v="5"/>
    <s v="Rohit Seksaria"/>
    <n v="3.46"/>
    <n v="0.55000000000000004"/>
    <n v="15.69"/>
    <n v="0.91"/>
    <n v="1.39"/>
    <n v="6"/>
    <s v="Sundaram Mutual Fund"/>
    <n v="0"/>
    <s v="Equity"/>
    <s v="Multi Cap Funds"/>
    <n v="1.6"/>
    <n v="25"/>
    <m/>
  </r>
  <r>
    <s v="Sundaram Nifty 100 Equal Weight Fund"/>
    <n v="500"/>
    <n v="100"/>
    <n v="0.46"/>
    <n v="52"/>
    <n v="10"/>
    <s v="Rohit Seksaria"/>
    <n v="2.5099999999999998"/>
    <n v="-0.45"/>
    <n v="16.989999999999998"/>
    <n v="0.98"/>
    <n v="1.27"/>
    <n v="6"/>
    <s v="Sundaram Mutual Fund"/>
    <n v="2"/>
    <s v="Other"/>
    <s v="Index Funds"/>
    <n v="-3.1"/>
    <n v="26.2"/>
    <n v="8.1999999999999993"/>
  </r>
  <r>
    <s v="Sundaram Overnight Fund"/>
    <n v="1000"/>
    <n v="5000"/>
    <n v="7.0000000000000007E-2"/>
    <n v="1006"/>
    <n v="4"/>
    <s v="Sandeep Agarwal"/>
    <n v="-0.3"/>
    <n v="0.6"/>
    <n v="0.35"/>
    <n v="0.46"/>
    <n v="-0.05"/>
    <n v="2"/>
    <s v="Sundaram Mutual Fund"/>
    <n v="2"/>
    <s v="Debt"/>
    <s v="Overnight Mutual Funds"/>
    <n v="5.4"/>
    <n v="3.9"/>
    <m/>
  </r>
  <r>
    <s v="Sundaram Services Fund"/>
    <n v="750"/>
    <n v="100"/>
    <n v="0.93"/>
    <n v="2272"/>
    <n v="5"/>
    <s v="Rohit Seksaria"/>
    <n v="3.44"/>
    <n v="4.8099999999999996"/>
    <n v="16.55"/>
    <n v="0.92"/>
    <n v="1.6"/>
    <n v="6"/>
    <s v="Sundaram Mutual Fund"/>
    <n v="0"/>
    <s v="Equity"/>
    <s v="Sectoral / Thematic Mutual Funds"/>
    <n v="3.2"/>
    <n v="31.3"/>
    <m/>
  </r>
  <r>
    <s v="Sundaram Short Duration Fund"/>
    <n v="2000"/>
    <n v="5000"/>
    <n v="0.28000000000000003"/>
    <n v="200"/>
    <n v="10"/>
    <s v="Dwijendra Srivastava"/>
    <n v="2.2799999999999998"/>
    <n v="2.16"/>
    <n v="4.82"/>
    <n v="-1.49"/>
    <n v="0.86"/>
    <n v="2"/>
    <s v="Sundaram Mutual Fund"/>
    <n v="5"/>
    <s v="Debt"/>
    <s v="Short Duration Funds"/>
    <n v="4.8"/>
    <n v="6.4"/>
    <n v="4.8"/>
  </r>
  <r>
    <s v="Sundaram Small Cap Fund"/>
    <n v="250"/>
    <n v="100"/>
    <n v="1.01"/>
    <n v="1962"/>
    <n v="10"/>
    <s v="Ravi Gopalakrishnan"/>
    <n v="3.47"/>
    <n v="6.06"/>
    <n v="18.079999999999998"/>
    <n v="0.83"/>
    <n v="1.88"/>
    <n v="6"/>
    <s v="Sundaram Mutual Fund"/>
    <n v="2"/>
    <s v="Equity"/>
    <s v="Small Cap Mutual Funds"/>
    <n v="1.6"/>
    <n v="44.9"/>
    <n v="9.3000000000000007"/>
  </r>
  <r>
    <s v="Sundaram Tax Savings Fund"/>
    <n v="500"/>
    <n v="500"/>
    <n v="1.76"/>
    <n v="930"/>
    <n v="10"/>
    <s v="Sudhir Kedia"/>
    <n v="3.24"/>
    <n v="1.74"/>
    <n v="15.82"/>
    <n v="0.92"/>
    <n v="1.48"/>
    <n v="6"/>
    <s v="Sundaram Mutual Fund"/>
    <n v="3"/>
    <s v="Equity"/>
    <s v="ELSS Mutual Funds"/>
    <n v="1.2"/>
    <n v="27.7"/>
    <n v="9.9"/>
  </r>
  <r>
    <s v="Sundaram Ultra Short Duration Fund"/>
    <n v="2000"/>
    <n v="1000"/>
    <n v="0.17"/>
    <n v="1412"/>
    <n v="10"/>
    <s v="Sandeep Agarwal"/>
    <n v="4.75"/>
    <n v="2.16"/>
    <n v="0.46"/>
    <n v="0.99"/>
    <n v="1.85"/>
    <n v="3"/>
    <s v="Sundaram Mutual Fund"/>
    <n v="3"/>
    <s v="Debt"/>
    <s v="Ultra Short Duration Funds"/>
    <n v="5.7"/>
    <n v="4.7"/>
    <n v="4.5"/>
  </r>
  <r>
    <s v="Tata Arbitrage Fund"/>
    <n v="150"/>
    <n v="5000"/>
    <n v="0.28000000000000003"/>
    <n v="5925"/>
    <n v="4"/>
    <s v="Sailesh Jain"/>
    <n v="1.97"/>
    <n v="1.94"/>
    <n v="0.75"/>
    <n v="0.69"/>
    <n v="1.36"/>
    <n v="1"/>
    <s v="Tata Mutual Fund"/>
    <n v="5"/>
    <s v="Hybrid"/>
    <s v="Arbitrage Mutual Funds"/>
    <n v="5.7"/>
    <n v="5"/>
    <m/>
  </r>
  <r>
    <s v="Tata Balanced Advantage Fund"/>
    <n v="150"/>
    <n v="5000"/>
    <n v="0.28000000000000003"/>
    <n v="6396"/>
    <n v="4"/>
    <s v="RahulSingh"/>
    <n v="4.01"/>
    <n v="3.8"/>
    <n v="8.5"/>
    <n v="0.56999999999999995"/>
    <n v="1.69"/>
    <n v="4"/>
    <s v="Tata Mutual Fund"/>
    <n v="4"/>
    <s v="Hybrid"/>
    <s v="Dynamic Asset Allocation or Balanced Advantage"/>
    <n v="5.8"/>
    <n v="18.7"/>
    <m/>
  </r>
  <r>
    <s v="Tata Banking &amp; Financial Services Fund"/>
    <n v="150"/>
    <n v="5000"/>
    <n v="0.59"/>
    <n v="1272"/>
    <n v="7"/>
    <s v="Sonam Udasi"/>
    <n v="2.2000000000000002"/>
    <n v="1.61"/>
    <n v="21.31"/>
    <n v="0.81"/>
    <n v="1"/>
    <n v="6"/>
    <s v="Tata Mutual Fund"/>
    <n v="4"/>
    <s v="Equity"/>
    <s v="Sectoral / Thematic Mutual Funds"/>
    <n v="11.9"/>
    <n v="23.2"/>
    <n v="12.6"/>
  </r>
  <r>
    <s v="Tata Banking &amp; PSU Debt Fund"/>
    <n v="150"/>
    <n v="5000"/>
    <n v="0.23"/>
    <n v="262"/>
    <n v="3"/>
    <s v="Amit Somani"/>
    <n v="1.68"/>
    <n v="4.51"/>
    <n v="2.2799999999999998"/>
    <n v="1.85"/>
    <n v="0.89"/>
    <n v="2"/>
    <s v="Tata Mutual Fund"/>
    <n v="3"/>
    <s v="Debt"/>
    <s v="Banking and PSU Mutual Funds"/>
    <n v="4"/>
    <n v="6.9"/>
    <m/>
  </r>
  <r>
    <s v="Tata Digital India Fund"/>
    <n v="150"/>
    <n v="5000"/>
    <n v="0.31"/>
    <n v="6765"/>
    <n v="7"/>
    <s v="Meeta Shetty"/>
    <n v="2.29"/>
    <n v="6.11"/>
    <n v="22.78"/>
    <n v="0.92"/>
    <n v="1.37"/>
    <n v="6"/>
    <s v="Tata Mutual Fund"/>
    <n v="0"/>
    <s v="Equity"/>
    <s v="Sectoral / Thematic Mutual Funds"/>
    <n v="-16"/>
    <n v="39"/>
    <n v="22.1"/>
  </r>
  <r>
    <s v="Tata Equity P/E Fund"/>
    <n v="150"/>
    <n v="5000"/>
    <n v="0.91"/>
    <n v="5119"/>
    <n v="10"/>
    <s v="Sonam Udasi"/>
    <n v="3.31"/>
    <n v="3.51"/>
    <n v="14.91"/>
    <n v="0.86"/>
    <n v="1.54"/>
    <n v="6"/>
    <s v="Tata Mutual Fund"/>
    <n v="2"/>
    <s v="Equity"/>
    <s v="Value Funds"/>
    <n v="6.6"/>
    <n v="27.8"/>
    <n v="10"/>
  </r>
  <r>
    <s v="Tata Equity Saving Fund"/>
    <n v="150"/>
    <n v="5000"/>
    <n v="0.12"/>
    <n v="142"/>
    <n v="10"/>
    <s v="Sailesh Jain"/>
    <n v="3.37"/>
    <n v="2.17"/>
    <n v="5.15"/>
    <n v="0.81"/>
    <n v="1.54"/>
    <n v="4"/>
    <s v="Tata Mutual Fund"/>
    <n v="3"/>
    <s v="Hybrid"/>
    <s v="Equity Savings Mutual Funds"/>
    <n v="3.4"/>
    <n v="12"/>
    <n v="7.5"/>
  </r>
  <r>
    <s v="Tata Ethical Fund"/>
    <n v="150"/>
    <n v="5000"/>
    <n v="0.94"/>
    <n v="1501"/>
    <n v="10"/>
    <s v="Abhinav Sharma"/>
    <n v="2.75"/>
    <n v="4.88"/>
    <n v="14.48"/>
    <n v="0.74"/>
    <n v="1.53"/>
    <n v="6"/>
    <s v="Tata Mutual Fund"/>
    <n v="0"/>
    <s v="Equity"/>
    <s v="Sectoral / Thematic Mutual Funds"/>
    <n v="-1.6"/>
    <n v="27.9"/>
    <n v="13.1"/>
  </r>
  <r>
    <s v="Tata Flexi Cap Fund"/>
    <n v="150"/>
    <n v="5000"/>
    <n v="0.77"/>
    <n v="2096"/>
    <n v="5"/>
    <s v="Sonam Udasi"/>
    <n v="2.58"/>
    <n v="-1.52"/>
    <n v="13.88"/>
    <n v="0.79"/>
    <n v="1.23"/>
    <n v="6"/>
    <s v="Tata Mutual Fund"/>
    <n v="2"/>
    <s v="Equity"/>
    <s v="Flexi Cap Funds"/>
    <n v="-2.5"/>
    <n v="21.3"/>
    <m/>
  </r>
  <r>
    <s v="Tata Floating Rate Fund"/>
    <n v="150"/>
    <n v="5000"/>
    <n v="0.3"/>
    <n v="225"/>
    <n v="2"/>
    <s v="Akhil Mittal"/>
    <s v="-"/>
    <s v="-"/>
    <s v="-"/>
    <s v="-"/>
    <s v="-"/>
    <n v="2"/>
    <s v="Tata Mutual Fund"/>
    <n v="4"/>
    <s v="Debt"/>
    <s v="Floater Mutual Funds"/>
    <n v="5.6"/>
    <m/>
    <m/>
  </r>
  <r>
    <s v="Tata Focused Equity Fund"/>
    <n v="150"/>
    <n v="5000"/>
    <n v="0.46"/>
    <n v="1212"/>
    <n v="3"/>
    <s v="Meeta Shetty"/>
    <n v="3.06"/>
    <n v="1.1399999999999999"/>
    <n v="16.670000000000002"/>
    <n v="0.96"/>
    <n v="1.43"/>
    <n v="6"/>
    <s v="Tata Mutual Fund"/>
    <n v="3"/>
    <s v="Equity"/>
    <s v="Focused Funds"/>
    <n v="0.4"/>
    <n v="28.4"/>
    <m/>
  </r>
  <r>
    <s v="Tata Gilt Securities Fund"/>
    <n v="150"/>
    <n v="5000"/>
    <n v="0.9"/>
    <n v="256"/>
    <n v="10"/>
    <s v="Akhil Mittal"/>
    <n v="0.31"/>
    <n v="7.0000000000000007E-2"/>
    <n v="2.99"/>
    <n v="0.66"/>
    <n v="0.27"/>
    <n v="2"/>
    <s v="Tata Mutual Fund"/>
    <n v="2"/>
    <s v="Debt"/>
    <s v="Gilt Mutual Funds"/>
    <n v="5.2"/>
    <n v="4.8"/>
    <n v="6.9"/>
  </r>
  <r>
    <s v="Tata Hybrid Equity Fund"/>
    <n v="150"/>
    <n v="5000"/>
    <n v="1.05"/>
    <n v="3166"/>
    <n v="10"/>
    <s v="Chandraprakash Padiyar"/>
    <n v="3.25"/>
    <n v="2.77"/>
    <n v="12.35"/>
    <n v="0.84"/>
    <n v="1.47"/>
    <n v="6"/>
    <s v="Tata Mutual Fund"/>
    <n v="3"/>
    <s v="Hybrid"/>
    <s v="Aggressive Hybrid Mutual Funds"/>
    <n v="6.2"/>
    <n v="22.8"/>
    <n v="10.5"/>
  </r>
  <r>
    <s v="Tata India Consumer Fund"/>
    <n v="150"/>
    <n v="5000"/>
    <n v="0.91"/>
    <n v="1346"/>
    <n v="7"/>
    <s v="Sonam Udasi"/>
    <n v="2.78"/>
    <n v="1.38"/>
    <n v="13.88"/>
    <n v="0.73"/>
    <n v="1.31"/>
    <n v="6"/>
    <s v="Tata Mutual Fund"/>
    <n v="2"/>
    <s v="Equity"/>
    <s v="Sectoral / Thematic Mutual Funds"/>
    <n v="2.8"/>
    <n v="23"/>
    <n v="10.6"/>
  </r>
  <r>
    <s v="Tata India Pharma &amp; Healthcare Fund"/>
    <n v="150"/>
    <n v="5000"/>
    <n v="1.01"/>
    <n v="485"/>
    <n v="7"/>
    <s v="Meeta Shetty"/>
    <n v="2.41"/>
    <n v="2.68"/>
    <n v="18.72"/>
    <n v="0.86"/>
    <n v="1"/>
    <n v="6"/>
    <s v="Tata Mutual Fund"/>
    <n v="0"/>
    <s v="Equity"/>
    <s v="Sectoral / Thematic Mutual Funds"/>
    <n v="-8.1"/>
    <n v="21.7"/>
    <n v="14.8"/>
  </r>
  <r>
    <s v="Tata India Tax Savings Fund"/>
    <n v="500"/>
    <n v="500"/>
    <n v="0.76"/>
    <n v="3078"/>
    <n v="8"/>
    <s v="Tejas Gutka"/>
    <n v="3.36"/>
    <n v="0.43"/>
    <n v="16.239999999999998"/>
    <n v="0.94"/>
    <n v="1.39"/>
    <n v="6"/>
    <s v="Tata Mutual Fund"/>
    <n v="0"/>
    <s v="Equity"/>
    <s v="ELSS Mutual Funds"/>
    <n v="2.2000000000000002"/>
    <n v="26.5"/>
    <n v="12"/>
  </r>
  <r>
    <s v="Tata Infrastructure Fund"/>
    <n v="150"/>
    <n v="5000"/>
    <n v="1.42"/>
    <n v="950"/>
    <n v="10"/>
    <s v="Abhinav Sharma"/>
    <n v="3.52"/>
    <n v="9.44"/>
    <n v="17.14"/>
    <n v="0.63"/>
    <n v="1.73"/>
    <n v="6"/>
    <s v="Tata Mutual Fund"/>
    <n v="3"/>
    <s v="Equity"/>
    <s v="Sectoral / Thematic Mutual Funds"/>
    <n v="14"/>
    <n v="35"/>
    <n v="13.1"/>
  </r>
  <r>
    <s v="Tata Large &amp; Mid Cap Fund"/>
    <n v="150"/>
    <n v="5000"/>
    <n v="0.89"/>
    <n v="3680"/>
    <n v="10"/>
    <s v="Chandraprakash Padiyar"/>
    <n v="3.47"/>
    <n v="2.58"/>
    <n v="16.57"/>
    <n v="0.94"/>
    <n v="1.46"/>
    <n v="6"/>
    <s v="Tata Mutual Fund"/>
    <n v="4"/>
    <s v="Equity"/>
    <s v="Large &amp; Mid Cap Funds"/>
    <n v="8.8000000000000007"/>
    <n v="33.5"/>
    <n v="14"/>
  </r>
  <r>
    <s v="Tata Large Cap Fund"/>
    <n v="150"/>
    <n v="5000"/>
    <n v="1.24"/>
    <n v="1365"/>
    <n v="10"/>
    <s v="Amey Sathe"/>
    <n v="3.05"/>
    <n v="0.45"/>
    <n v="16"/>
    <n v="0.94"/>
    <n v="1.35"/>
    <n v="6"/>
    <s v="Tata Mutual Fund"/>
    <n v="2"/>
    <s v="Equity"/>
    <s v="Large Cap Mutual Funds"/>
    <n v="1.8"/>
    <n v="25.7"/>
    <n v="11.3"/>
  </r>
  <r>
    <s v="Tata Liquid Fund"/>
    <n v="150"/>
    <n v="5000"/>
    <n v="0.21"/>
    <n v="18212"/>
    <n v="10"/>
    <s v="Amit Somani"/>
    <n v="4.25"/>
    <n v="1.42"/>
    <n v="0.38"/>
    <n v="0.8"/>
    <n v="0.93"/>
    <n v="2"/>
    <s v="Tata Mutual Fund"/>
    <n v="3"/>
    <s v="Debt"/>
    <s v="Liquid Mutual Funds"/>
    <n v="5.6"/>
    <n v="4.4000000000000004"/>
    <n v="5.3"/>
  </r>
  <r>
    <s v="Tata Mid Cap Growth Fund"/>
    <n v="150"/>
    <n v="5000"/>
    <n v="0.98"/>
    <n v="1759"/>
    <n v="10"/>
    <s v="Satish Chandra Mishra"/>
    <n v="3.3"/>
    <n v="0.16"/>
    <n v="15.94"/>
    <n v="0.87"/>
    <n v="1.61"/>
    <n v="6"/>
    <s v="Tata Mutual Fund"/>
    <n v="3"/>
    <s v="Equity"/>
    <s v="Mid Cap Mutual Funds"/>
    <n v="1.3"/>
    <n v="29.2"/>
    <n v="13.5"/>
  </r>
  <r>
    <s v="Tata Money Market Fund"/>
    <n v="150"/>
    <n v="5000"/>
    <n v="0.17"/>
    <n v="8814"/>
    <n v="10"/>
    <s v="Amit Somani"/>
    <n v="4.59"/>
    <n v="2.92"/>
    <n v="0.65"/>
    <n v="1.18"/>
    <n v="2.0499999999999998"/>
    <n v="3"/>
    <s v="Tata Mutual Fund"/>
    <n v="5"/>
    <s v="Debt"/>
    <s v="Money Market Funds"/>
    <n v="5.7"/>
    <n v="5.6"/>
    <n v="4.8"/>
  </r>
  <r>
    <s v="Tata Nifty 50 Index Fund"/>
    <n v="150"/>
    <n v="5000"/>
    <n v="0.16"/>
    <n v="369"/>
    <n v="10"/>
    <s v="Sonam Udasi"/>
    <n v="3.45"/>
    <n v="-0.56000000000000005"/>
    <n v="16.489999999999998"/>
    <n v="0.98"/>
    <n v="1.31"/>
    <n v="6"/>
    <s v="Tata Mutual Fund"/>
    <n v="3"/>
    <s v="Other"/>
    <s v="Index Funds"/>
    <n v="1"/>
    <n v="25.6"/>
    <n v="12"/>
  </r>
  <r>
    <s v="Tata Overnight Fund"/>
    <n v="1000"/>
    <n v="5000"/>
    <n v="0.09"/>
    <n v="3236"/>
    <n v="4"/>
    <s v="Amit Somani"/>
    <n v="-1.59"/>
    <n v="0.47"/>
    <n v="0.35"/>
    <n v="0.43"/>
    <n v="-0.3"/>
    <n v="1"/>
    <s v="Tata Mutual Fund"/>
    <n v="3"/>
    <s v="Debt"/>
    <s v="Overnight Mutual Funds"/>
    <n v="5.4"/>
    <n v="3.9"/>
    <m/>
  </r>
  <r>
    <s v="Tata Resources &amp; Energy Fund"/>
    <n v="150"/>
    <n v="5000"/>
    <n v="0.91"/>
    <n v="232"/>
    <n v="7"/>
    <s v="Satish Chandra Mishra"/>
    <n v="2.48"/>
    <n v="16.72"/>
    <n v="20.36"/>
    <n v="0.49"/>
    <n v="1.44"/>
    <n v="6"/>
    <s v="Tata Mutual Fund"/>
    <n v="0"/>
    <s v="Equity"/>
    <s v="Sectoral / Thematic Mutual Funds"/>
    <n v="-3.4"/>
    <n v="34.700000000000003"/>
    <n v="15.5"/>
  </r>
  <r>
    <s v="Tata Retirement Savings Fund"/>
    <n v="150"/>
    <n v="5000"/>
    <n v="0.68"/>
    <n v="1557"/>
    <n v="10"/>
    <s v="Murthy Nagarajan"/>
    <n v="2.23"/>
    <n v="0.12"/>
    <n v="4.71"/>
    <n v="0.72"/>
    <n v="1.1200000000000001"/>
    <n v="6"/>
    <s v="Tata Mutual Fund"/>
    <n v="3"/>
    <s v="Solution Oriented"/>
    <s v="Retirement Funds"/>
    <n v="0.5"/>
    <n v="19.3"/>
    <n v="9.4"/>
  </r>
  <r>
    <s v="Taurus Banking &amp; Financial Services-Direct Growth"/>
    <n v="1000"/>
    <n v="5000"/>
    <n v="1.66"/>
    <n v="8.91"/>
    <n v="10"/>
    <s v="Hardik Shah"/>
    <n v="2.12"/>
    <n v="-0.23"/>
    <n v="22.57"/>
    <n v="0.87"/>
    <n v="0.93"/>
    <n v="6"/>
    <s v="Taurus Mutual Fund"/>
    <n v="4"/>
    <s v="Equity"/>
    <s v="Sectoral / Thematic Mutual Funds"/>
    <n v="9"/>
    <n v="21.9"/>
    <n v="11.9"/>
  </r>
  <r>
    <s v="Taurus Discovery (Midcap) Fund"/>
    <n v="1000"/>
    <n v="5000"/>
    <n v="2.19"/>
    <n v="74"/>
    <n v="10"/>
    <s v="Hardik Shah"/>
    <n v="2.2799999999999998"/>
    <n v="-5.29"/>
    <n v="17.41"/>
    <n v="0.93"/>
    <n v="1.27"/>
    <n v="6"/>
    <s v="Taurus Mutual Fund"/>
    <n v="3"/>
    <s v="Equity"/>
    <s v="Mid Cap Mutual Funds"/>
    <n v="3.6"/>
    <n v="26.4"/>
    <n v="10.9"/>
  </r>
  <r>
    <s v="Taurus Ethical Fund"/>
    <n v="1000"/>
    <n v="5000"/>
    <n v="1.18"/>
    <n v="84"/>
    <n v="10"/>
    <s v="Anuj Kapil"/>
    <n v="2.66"/>
    <n v="0.83"/>
    <n v="13.82"/>
    <n v="0.73"/>
    <n v="1.29"/>
    <n v="6"/>
    <s v="Taurus Mutual Fund"/>
    <n v="0"/>
    <s v="Equity"/>
    <s v="Sectoral / Thematic Mutual Funds"/>
    <n v="-3.5"/>
    <n v="22.3"/>
    <n v="11.4"/>
  </r>
  <r>
    <s v="Taurus Flexi Cap Fund"/>
    <n v="1000"/>
    <n v="5000"/>
    <n v="2.59"/>
    <n v="233"/>
    <n v="10"/>
    <s v="Ankit Tikmany"/>
    <n v="1.69"/>
    <n v="-4.83"/>
    <n v="16.22"/>
    <n v="0.91"/>
    <n v="1.02"/>
    <n v="6"/>
    <s v="Taurus Mutual Fund"/>
    <n v="1"/>
    <s v="Equity"/>
    <s v="Flexi Cap Funds"/>
    <n v="-4.0999999999999996"/>
    <n v="20.2"/>
    <n v="5.4"/>
  </r>
  <r>
    <s v="Taurus Infrastructure Fund"/>
    <n v="1000"/>
    <n v="5000"/>
    <n v="2.02"/>
    <n v="5.12"/>
    <n v="10"/>
    <s v="Neha Raichura"/>
    <n v="2.68"/>
    <n v="3.64"/>
    <n v="16.22"/>
    <n v="0.56000000000000005"/>
    <n v="1.32"/>
    <n v="6"/>
    <s v="Taurus Mutual Fund"/>
    <n v="3"/>
    <s v="Equity"/>
    <s v="Sectoral / Thematic Mutual Funds"/>
    <n v="-0.7"/>
    <n v="25.3"/>
    <n v="8.9"/>
  </r>
  <r>
    <s v="Taurus Largecap Equity Fund"/>
    <n v="1000"/>
    <n v="5000"/>
    <n v="0.44"/>
    <n v="30"/>
    <n v="10"/>
    <s v="Ankit Tikmany"/>
    <n v="1.64"/>
    <n v="-5.6"/>
    <n v="17.239999999999998"/>
    <n v="0.96"/>
    <n v="0.94"/>
    <n v="6"/>
    <s v="Taurus Mutual Fund"/>
    <n v="1"/>
    <s v="Equity"/>
    <s v="Large Cap Mutual Funds"/>
    <n v="-2.5"/>
    <n v="19.5"/>
    <n v="7.6"/>
  </r>
  <r>
    <s v="Taurus Nifty 50 Index Fund"/>
    <n v="1000"/>
    <n v="5000"/>
    <n v="0.44"/>
    <n v="2.38"/>
    <n v="10"/>
    <s v="Ramneek Kundra"/>
    <n v="3.29"/>
    <n v="-0.33"/>
    <n v="16.420000000000002"/>
    <n v="0.98"/>
    <n v="1.33"/>
    <n v="6"/>
    <s v="Taurus Mutual Fund"/>
    <n v="0"/>
    <s v="Other"/>
    <s v="Index Funds"/>
    <n v="1.2"/>
    <n v="25.8"/>
    <n v="12.3"/>
  </r>
  <r>
    <s v="Taurus Tax Shield â€“ Direct Growth"/>
    <n v="500"/>
    <n v="500"/>
    <n v="1.73"/>
    <n v="59"/>
    <n v="10"/>
    <s v="Ramneek Kundra"/>
    <n v="2.62"/>
    <n v="2.15"/>
    <n v="13.7"/>
    <n v="0.76"/>
    <n v="1.47"/>
    <n v="6"/>
    <s v="Taurus Mutual Fund"/>
    <n v="3"/>
    <s v="Equity"/>
    <s v="ELSS Mutual Funds"/>
    <n v="6.8"/>
    <n v="24.4"/>
    <n v="10.6"/>
  </r>
  <r>
    <s v="Templeton India Equity Income Fund"/>
    <n v="500"/>
    <n v="5000"/>
    <n v="1.3"/>
    <n v="1350"/>
    <n v="10"/>
    <s v="Anand Radhakrishnan"/>
    <n v="3.87"/>
    <n v="13.72"/>
    <n v="13.41"/>
    <n v="0.7"/>
    <n v="2.2599999999999998"/>
    <n v="6"/>
    <s v="Franklin Templeton Mutual Fund"/>
    <n v="0"/>
    <s v="Equity"/>
    <s v="Dividend Yield Funds"/>
    <n v="8.3000000000000007"/>
    <n v="37.700000000000003"/>
    <n v="14.5"/>
  </r>
  <r>
    <s v="Templeton India Value Fund"/>
    <n v="500"/>
    <n v="5000"/>
    <n v="0.91"/>
    <n v="845"/>
    <n v="10"/>
    <s v="Anand Radhakrishnan"/>
    <n v="3.73"/>
    <n v="10.68"/>
    <n v="18.7"/>
    <n v="0.98"/>
    <n v="1.76"/>
    <n v="6"/>
    <s v="Franklin Templeton Mutual Fund"/>
    <n v="3"/>
    <s v="Equity"/>
    <s v="Value Funds"/>
    <n v="13.1"/>
    <n v="39.4"/>
    <n v="12.3"/>
  </r>
  <r>
    <s v="TRUSTMF Banking &amp; PSU Debt Fund"/>
    <n v="1000"/>
    <n v="1000"/>
    <n v="0.21"/>
    <n v="345"/>
    <n v="2"/>
    <s v="Anand Nevatia"/>
    <s v="-"/>
    <s v="-"/>
    <s v="-"/>
    <s v="-"/>
    <s v="-"/>
    <n v="3"/>
    <s v="Trust Mutual Fund"/>
    <n v="2"/>
    <s v="Debt"/>
    <s v="Banking and PSU Mutual Funds"/>
    <n v="3"/>
    <m/>
    <m/>
  </r>
  <r>
    <s v="TRUSTMF Liquid Fund"/>
    <n v="1000"/>
    <n v="1000"/>
    <n v="0.1"/>
    <n v="205"/>
    <n v="2"/>
    <s v="Anand Nevatia"/>
    <s v="-"/>
    <s v="-"/>
    <s v="-"/>
    <s v="-"/>
    <s v="-"/>
    <n v="2"/>
    <s v="Trust Mutual Fund"/>
    <n v="2"/>
    <s v="Debt"/>
    <s v="Liquid Mutual Funds"/>
    <n v="5.6"/>
    <m/>
    <m/>
  </r>
  <r>
    <s v="TRUSTMF Short Term Fund"/>
    <n v="1000"/>
    <n v="1000"/>
    <n v="0.23"/>
    <n v="94"/>
    <n v="2"/>
    <s v="Anand Nevatia"/>
    <s v="-"/>
    <s v="-"/>
    <s v="-"/>
    <s v="-"/>
    <s v="-"/>
    <n v="2"/>
    <s v="Trust Mutual Fund"/>
    <n v="2"/>
    <s v="Debt"/>
    <s v="Short Duration Funds"/>
    <n v="4.2"/>
    <m/>
    <m/>
  </r>
  <r>
    <s v="Union Arbitrage Fund"/>
    <n v="500"/>
    <n v="1000"/>
    <n v="0.44"/>
    <n v="72"/>
    <n v="4"/>
    <s v="Vishal Thakker"/>
    <n v="0.98"/>
    <n v="1.51"/>
    <n v="0.73"/>
    <n v="0.79"/>
    <n v="0.63"/>
    <n v="1"/>
    <s v="Union Mutual Fund"/>
    <n v="3"/>
    <s v="Hybrid"/>
    <s v="Arbitrage Mutual Funds"/>
    <n v="5"/>
    <n v="4.4000000000000004"/>
    <m/>
  </r>
  <r>
    <s v="Union Balanced Advantage Fund"/>
    <n v="500"/>
    <n v="1000"/>
    <n v="0.94"/>
    <n v="1679"/>
    <n v="5"/>
    <s v="Parijat Agrawal"/>
    <n v="4.24"/>
    <n v="1.73"/>
    <n v="9.99"/>
    <n v="0.64"/>
    <n v="1.36"/>
    <n v="3"/>
    <s v="Union Mutual Fund"/>
    <n v="3"/>
    <s v="Hybrid"/>
    <s v="Dynamic Asset Allocation or Balanced Advantage"/>
    <n v="3.6"/>
    <n v="18.3"/>
    <n v="10.199999999999999"/>
  </r>
  <r>
    <s v="Union Corporate Bond Fund"/>
    <n v="1000"/>
    <n v="1000"/>
    <n v="0.45"/>
    <n v="390"/>
    <n v="5"/>
    <s v="Parijat Agrawal"/>
    <n v="1.07"/>
    <n v="1.1000000000000001"/>
    <n v="2.21"/>
    <n v="0.85"/>
    <n v="0.6"/>
    <n v="2"/>
    <s v="Union Mutual Fund"/>
    <n v="2"/>
    <s v="Debt"/>
    <s v="Corporate Bond Mutual Funds"/>
    <n v="3.1"/>
    <n v="6.2"/>
    <m/>
  </r>
  <r>
    <s v="Union Dynamic Bond Fund"/>
    <n v="1000"/>
    <n v="1000"/>
    <n v="1.29"/>
    <n v="92"/>
    <n v="10"/>
    <s v="Parijat Agrawal"/>
    <n v="0.05"/>
    <n v="-0.28999999999999998"/>
    <n v="2.89"/>
    <n v="1.41"/>
    <n v="0.04"/>
    <n v="3"/>
    <s v="Union Mutual Fund"/>
    <n v="1"/>
    <s v="Debt"/>
    <s v="Dynamic Bond"/>
    <n v="2.6"/>
    <n v="4.7"/>
    <n v="6"/>
  </r>
  <r>
    <s v="Union Equity Savings Fund"/>
    <n v="500"/>
    <n v="1000"/>
    <n v="1.47"/>
    <n v="133"/>
    <n v="5"/>
    <s v="Sanjay Bembalkar"/>
    <n v="3"/>
    <n v="0.32"/>
    <n v="5.85"/>
    <n v="0.91"/>
    <n v="1.17"/>
    <n v="3"/>
    <s v="Union Mutual Fund"/>
    <n v="2"/>
    <s v="Hybrid"/>
    <s v="Equity Savings Mutual Funds"/>
    <n v="2"/>
    <n v="10.8"/>
    <m/>
  </r>
  <r>
    <s v="Union Flexi Cap Fund"/>
    <n v="500"/>
    <n v="1000"/>
    <n v="1.06"/>
    <n v="1337"/>
    <n v="10"/>
    <s v="Sanjay Bembalkar"/>
    <n v="3.37"/>
    <n v="1.28"/>
    <n v="16.05"/>
    <n v="0.92"/>
    <n v="1.43"/>
    <n v="6"/>
    <s v="Union Mutual Fund"/>
    <n v="4"/>
    <s v="Equity"/>
    <s v="Flexi Cap Funds"/>
    <n v="0.6"/>
    <n v="27.7"/>
    <n v="12.9"/>
  </r>
  <r>
    <s v="Union Focused Fund"/>
    <n v="500"/>
    <n v="1000"/>
    <n v="1.57"/>
    <n v="317"/>
    <n v="4"/>
    <s v="Hardick Bora"/>
    <n v="3.33"/>
    <n v="1.82"/>
    <n v="15.14"/>
    <n v="0.85"/>
    <n v="1.44"/>
    <n v="6"/>
    <s v="Union Mutual Fund"/>
    <n v="4"/>
    <s v="Equity"/>
    <s v="Focused Funds"/>
    <n v="-0.1"/>
    <n v="26.2"/>
    <m/>
  </r>
  <r>
    <s v="Union Large &amp; Midcap Fund"/>
    <n v="500"/>
    <n v="1000"/>
    <n v="1.2"/>
    <n v="396"/>
    <n v="3"/>
    <s v="Sanjay Bembalkar"/>
    <n v="2.94"/>
    <n v="2.2599999999999998"/>
    <n v="16.600000000000001"/>
    <n v="0.93"/>
    <n v="1.42"/>
    <n v="6"/>
    <s v="Union Mutual Fund"/>
    <n v="3"/>
    <s v="Equity"/>
    <s v="Large &amp; Mid Cap Funds"/>
    <n v="0.7"/>
    <n v="27.6"/>
    <m/>
  </r>
  <r>
    <s v="Union Largecap Fund"/>
    <n v="1000"/>
    <n v="1000"/>
    <n v="1.8"/>
    <n v="230"/>
    <n v="6"/>
    <s v="Hardick Bora"/>
    <n v="3.13"/>
    <n v="-1.55"/>
    <n v="16.41"/>
    <n v="0.97"/>
    <n v="1.24"/>
    <n v="6"/>
    <s v="Union Mutual Fund"/>
    <n v="2"/>
    <s v="Equity"/>
    <s v="Large Cap Mutual Funds"/>
    <n v="0.1"/>
    <n v="24.3"/>
    <n v="9.9"/>
  </r>
  <r>
    <s v="Union Liquid Fund"/>
    <n v="2000"/>
    <n v="5000"/>
    <n v="7.0000000000000007E-2"/>
    <n v="1688"/>
    <n v="10"/>
    <s v="Devesh Thacker"/>
    <n v="5.48"/>
    <n v="1.4"/>
    <n v="0.38"/>
    <n v="0.76"/>
    <n v="1"/>
    <n v="2"/>
    <s v="Union Mutual Fund"/>
    <n v="4"/>
    <s v="Debt"/>
    <s v="Liquid Mutual Funds"/>
    <n v="5.7"/>
    <n v="4.4000000000000004"/>
    <n v="4.5999999999999996"/>
  </r>
  <r>
    <s v="Union Long Term Equity Fund"/>
    <n v="500"/>
    <n v="500"/>
    <n v="1.62"/>
    <n v="573"/>
    <n v="10"/>
    <s v="Sanjay Bembalkar"/>
    <n v="3.97"/>
    <n v="2.09"/>
    <n v="15.89"/>
    <n v="0.92"/>
    <n v="1.49"/>
    <n v="6"/>
    <s v="Union Mutual Fund"/>
    <n v="4"/>
    <s v="Equity"/>
    <s v="ELSS Mutual Funds"/>
    <n v="2.2999999999999998"/>
    <n v="28.5"/>
    <n v="12.8"/>
  </r>
  <r>
    <s v="Union Medium Duration Fund"/>
    <n v="500"/>
    <n v="1000"/>
    <n v="0.64"/>
    <n v="170"/>
    <n v="3"/>
    <s v="Parijat Agrawal"/>
    <s v="-"/>
    <s v="-"/>
    <s v="-"/>
    <s v="-"/>
    <s v="-"/>
    <n v="3"/>
    <s v="Union Mutual Fund"/>
    <n v="2"/>
    <s v="Debt"/>
    <s v="Medium Duration Funds"/>
    <n v="2.2999999999999998"/>
    <m/>
    <m/>
  </r>
  <r>
    <s v="Union Money Market Fund"/>
    <n v="2000"/>
    <n v="5000"/>
    <n v="0.24"/>
    <n v="144"/>
    <n v="2"/>
    <s v="Parijat Agrawal"/>
    <s v="-"/>
    <s v="-"/>
    <s v="-"/>
    <s v="-"/>
    <s v="-"/>
    <n v="2"/>
    <s v="Union Mutual Fund"/>
    <n v="3"/>
    <s v="Debt"/>
    <s v="Money Market Funds"/>
    <n v="5.4"/>
    <m/>
    <m/>
  </r>
  <r>
    <s v="Union Overnight Fund"/>
    <n v="2000"/>
    <n v="5000"/>
    <n v="0.08"/>
    <n v="158"/>
    <n v="4"/>
    <s v="Devesh Thacker"/>
    <n v="-0.18"/>
    <n v="0.55000000000000004"/>
    <n v="0.35"/>
    <n v="0.42"/>
    <n v="-0.04"/>
    <n v="1"/>
    <s v="Union Mutual Fund"/>
    <n v="3"/>
    <s v="Debt"/>
    <s v="Overnight Mutual Funds"/>
    <n v="5.4"/>
    <n v="3.9"/>
    <m/>
  </r>
  <r>
    <s v="Union Small Cap Fund"/>
    <n v="500"/>
    <n v="1000"/>
    <n v="1.35"/>
    <n v="710"/>
    <n v="9"/>
    <s v="Hardick Bora"/>
    <n v="3.63"/>
    <n v="5.81"/>
    <n v="17.48"/>
    <n v="0.75"/>
    <n v="1.77"/>
    <n v="6"/>
    <s v="Union Mutual Fund"/>
    <n v="3"/>
    <s v="Equity"/>
    <s v="Small Cap Mutual Funds"/>
    <n v="-0.1"/>
    <n v="37.1"/>
    <n v="12.8"/>
  </r>
  <r>
    <s v="Union Value Discovery Fund"/>
    <n v="500"/>
    <n v="1000"/>
    <n v="1.59"/>
    <n v="144"/>
    <n v="4"/>
    <s v="Sanjay Bembalkar"/>
    <n v="4.01"/>
    <n v="2.11"/>
    <n v="17.21"/>
    <n v="0.99"/>
    <n v="1.43"/>
    <n v="6"/>
    <s v="Union Mutual Fund"/>
    <n v="3"/>
    <s v="Equity"/>
    <s v="Value Funds"/>
    <n v="2.9"/>
    <n v="29.7"/>
    <m/>
  </r>
  <r>
    <s v="UTI-Arbitrage Fund"/>
    <n v="500"/>
    <n v="5000"/>
    <n v="0.34"/>
    <n v="3532"/>
    <n v="10"/>
    <s v="Rajeev Gupta"/>
    <n v="1.45"/>
    <n v="1.42"/>
    <n v="0.68"/>
    <n v="0.5"/>
    <n v="1.1100000000000001"/>
    <n v="1"/>
    <s v="UTI Mutual Fund"/>
    <n v="3"/>
    <s v="Hybrid"/>
    <s v="Arbitrage Mutual Funds"/>
    <n v="5.4"/>
    <n v="4.7"/>
    <n v="5.5"/>
  </r>
  <r>
    <s v="UTI-Banking &amp; PSU Debt Fund"/>
    <n v="500"/>
    <n v="500"/>
    <n v="0.24"/>
    <n v="524"/>
    <n v="9"/>
    <s v="Anurag Mittal"/>
    <n v="3.32"/>
    <n v="1.2"/>
    <n v="3.44"/>
    <n v="-1.51"/>
    <n v="0.94"/>
    <n v="3"/>
    <s v="UTI Mutual Fund"/>
    <n v="1"/>
    <s v="Debt"/>
    <s v="Banking and PSU Mutual Funds"/>
    <n v="11"/>
    <n v="7.9"/>
    <n v="5.6"/>
  </r>
  <r>
    <s v="UTI-Banking and Financial Services Fund"/>
    <n v="500"/>
    <n v="5000"/>
    <n v="1.39"/>
    <n v="824"/>
    <n v="10"/>
    <s v="Amit Premchandani"/>
    <n v="2.17"/>
    <n v="1.05"/>
    <n v="24.46"/>
    <n v="0.94"/>
    <n v="0.98"/>
    <n v="6"/>
    <s v="UTI Mutual Fund"/>
    <n v="1"/>
    <s v="Equity"/>
    <s v="Sectoral / Thematic Mutual Funds"/>
    <n v="8.1999999999999993"/>
    <n v="24.4"/>
    <n v="6.7"/>
  </r>
  <r>
    <s v="UTI-Bond Fund"/>
    <n v="500"/>
    <n v="500"/>
    <n v="1.29"/>
    <n v="285"/>
    <n v="10"/>
    <s v="Amandeep Chopra"/>
    <n v="3.55"/>
    <n v="5.68"/>
    <n v="6.12"/>
    <n v="0.72"/>
    <n v="0.96"/>
    <n v="3"/>
    <s v="UTI Mutual Fund"/>
    <n v="5"/>
    <s v="Debt"/>
    <s v="Medium to Long Duration Funds"/>
    <n v="12"/>
    <n v="10.4"/>
    <n v="4.4000000000000004"/>
  </r>
  <r>
    <s v="UTI-CCF Investment Plan â€“ Direct Growth"/>
    <n v="500"/>
    <n v="1000"/>
    <n v="1.52"/>
    <n v="685"/>
    <n v="10"/>
    <s v="Vetri Subramaniam"/>
    <n v="3"/>
    <n v="-0.7"/>
    <n v="16.2"/>
    <n v="0.94"/>
    <n v="0.95"/>
    <n v="6"/>
    <s v="UTI Mutual Fund"/>
    <n v="0"/>
    <s v="Solution Oriented"/>
    <s v="Childrens Funds"/>
    <n v="-3.3"/>
    <n v="24.1"/>
    <n v="10.1"/>
  </r>
  <r>
    <s v="UTI-Core Equity Fund"/>
    <n v="500"/>
    <n v="5000"/>
    <n v="1.68"/>
    <n v="1506"/>
    <n v="10"/>
    <s v="V Srivatsa"/>
    <n v="3.56"/>
    <n v="4.97"/>
    <n v="17.02"/>
    <n v="0.96"/>
    <n v="1.58"/>
    <n v="6"/>
    <s v="UTI Mutual Fund"/>
    <n v="2"/>
    <s v="Equity"/>
    <s v="Large &amp; Mid Cap Funds"/>
    <n v="4.0999999999999996"/>
    <n v="30.7"/>
    <n v="10.199999999999999"/>
  </r>
  <r>
    <s v="UTI-Corporate Bond Fund"/>
    <n v="500"/>
    <n v="500"/>
    <n v="0.23"/>
    <n v="3092"/>
    <n v="5"/>
    <s v="Anurag Mittal"/>
    <n v="1.7"/>
    <n v="1.63"/>
    <n v="2.06"/>
    <n v="0.74"/>
    <n v="0.89"/>
    <n v="2"/>
    <s v="UTI Mutual Fund"/>
    <n v="3"/>
    <s v="Debt"/>
    <s v="Corporate Bond Mutual Funds"/>
    <n v="4.2"/>
    <n v="6.5"/>
    <m/>
  </r>
  <r>
    <s v="UTI-Credit Risk Fund"/>
    <n v="500"/>
    <n v="500"/>
    <n v="0.81"/>
    <n v="438"/>
    <n v="10"/>
    <s v="Ritesh Nambiar"/>
    <n v="0.68"/>
    <n v="0.94"/>
    <n v="10.47"/>
    <n v="-2.54"/>
    <n v="0.41"/>
    <n v="4"/>
    <s v="UTI Mutual Fund"/>
    <n v="4"/>
    <s v="Debt"/>
    <s v="Credit Risk Funds"/>
    <n v="5"/>
    <n v="8.3000000000000007"/>
    <n v="-0.9"/>
  </r>
  <r>
    <s v="UTI-Dividend Yield Fund"/>
    <n v="500"/>
    <n v="5000"/>
    <n v="1.45"/>
    <n v="2786"/>
    <n v="10"/>
    <s v="Swati Kulkarni"/>
    <n v="2.93"/>
    <n v="1.9"/>
    <n v="14.96"/>
    <n v="0.82"/>
    <n v="1.41"/>
    <n v="6"/>
    <s v="UTI Mutual Fund"/>
    <n v="0"/>
    <s v="Equity"/>
    <s v="Dividend Yield Funds"/>
    <n v="-1.5"/>
    <n v="26.8"/>
    <n v="11.3"/>
  </r>
  <r>
    <s v="UTI-Dynamic Bond Fund"/>
    <n v="500"/>
    <n v="500"/>
    <n v="0.81"/>
    <n v="469"/>
    <n v="10"/>
    <s v="Sudhir Agrawal"/>
    <n v="4.4000000000000004"/>
    <n v="6.35"/>
    <n v="6.76"/>
    <n v="0.56000000000000005"/>
    <n v="0.96"/>
    <n v="3"/>
    <s v="UTI Mutual Fund"/>
    <n v="3"/>
    <s v="Debt"/>
    <s v="Dynamic Bond"/>
    <n v="12.5"/>
    <n v="11"/>
    <n v="6.3"/>
  </r>
  <r>
    <s v="UTI-Equity Savings Fund"/>
    <n v="0"/>
    <n v="5000"/>
    <n v="0.68"/>
    <n v="257"/>
    <n v="5"/>
    <s v="V Srivatsa"/>
    <n v="4.0599999999999996"/>
    <n v="3.98"/>
    <n v="5.99"/>
    <n v="0.91"/>
    <n v="1.75"/>
    <n v="3"/>
    <s v="UTI Mutual Fund"/>
    <n v="4"/>
    <s v="Hybrid"/>
    <s v="Equity Savings Mutual Funds"/>
    <n v="6.1"/>
    <n v="14.7"/>
    <m/>
  </r>
  <r>
    <s v="UTI-Nifty Next 50 Index Fund"/>
    <n v="0"/>
    <n v="5000"/>
    <n v="0.33"/>
    <n v="1926"/>
    <n v="5"/>
    <s v="Sharwan Kumar Goyal"/>
    <n v="1.71"/>
    <n v="-4.62"/>
    <n v="18.16"/>
    <n v="0.99"/>
    <n v="0.97"/>
    <n v="6"/>
    <s v="UTI Mutual Fund"/>
    <n v="2"/>
    <s v="Other"/>
    <s v="Index Funds"/>
    <n v="-6.4"/>
    <n v="22.2"/>
    <m/>
  </r>
  <r>
    <s v="UTI-Overnight Fund"/>
    <n v="500"/>
    <n v="500"/>
    <n v="7.0000000000000007E-2"/>
    <n v="5600"/>
    <n v="10"/>
    <s v="Amit Sharma"/>
    <n v="0.12"/>
    <n v="0.6"/>
    <n v="0.34"/>
    <n v="0.44"/>
    <n v="0.02"/>
    <n v="1"/>
    <s v="UTI Mutual Fund"/>
    <n v="3"/>
    <s v="Debt"/>
    <s v="Overnight Mutual Funds"/>
    <n v="5.4"/>
    <n v="3.9"/>
    <n v="4.5999999999999996"/>
  </r>
  <r>
    <s v="UTI-Regular Savings Fund"/>
    <n v="500"/>
    <n v="5000"/>
    <n v="1.2"/>
    <n v="1544"/>
    <n v="10"/>
    <s v="Amandeep Chopra"/>
    <n v="4.07"/>
    <n v="3.42"/>
    <n v="5.0999999999999996"/>
    <n v="0.73"/>
    <n v="1.7"/>
    <n v="4"/>
    <s v="UTI Mutual Fund"/>
    <n v="3"/>
    <s v="Hybrid"/>
    <s v="Conservative Hybrid Mutual Funds"/>
    <n v="3.7"/>
    <n v="13.5"/>
    <n v="7.2"/>
  </r>
  <r>
    <s v="UTI-Retirement Benefit Pension Plan â€“ Direct"/>
    <n v="500"/>
    <n v="500"/>
    <n v="1.05"/>
    <n v="3687"/>
    <n v="10"/>
    <s v="Sunil Patil"/>
    <n v="3.59"/>
    <n v="4.37"/>
    <n v="6.72"/>
    <n v="0.45"/>
    <n v="1.88"/>
    <n v="5"/>
    <s v="UTI Mutual Fund"/>
    <n v="0"/>
    <s v="Solution Oriented"/>
    <s v="Retirement Funds"/>
    <n v="5.2"/>
    <n v="17.2"/>
    <n v="7.5"/>
  </r>
  <r>
    <s v="UTI-Short Term Income Fund"/>
    <n v="500"/>
    <n v="500"/>
    <n v="0.33"/>
    <n v="2269"/>
    <n v="10"/>
    <s v="Sudhir Agrawal"/>
    <n v="4.4000000000000004"/>
    <n v="4.95"/>
    <n v="2.91"/>
    <n v="0.82"/>
    <n v="1.33"/>
    <n v="3"/>
    <s v="UTI Mutual Fund"/>
    <n v="5"/>
    <s v="Debt"/>
    <s v="Short Duration Funds"/>
    <n v="5"/>
    <n v="8.5"/>
    <n v="5.4"/>
  </r>
  <r>
    <s v="UTI-Transportation &amp; Logistics Fund"/>
    <n v="500"/>
    <n v="5000"/>
    <n v="1.03"/>
    <n v="1908"/>
    <n v="10"/>
    <s v="Sachin Trivedi"/>
    <n v="3.56"/>
    <n v="10.26"/>
    <n v="18.98"/>
    <n v="0.83"/>
    <n v="1.57"/>
    <n v="6"/>
    <s v="UTI Mutual Fund"/>
    <n v="0"/>
    <s v="Equity"/>
    <s v="Sectoral / Thematic Mutual Funds"/>
    <n v="14.1"/>
    <n v="32.9"/>
    <n v="5.0999999999999996"/>
  </r>
  <r>
    <s v="UTI-Treasury Advantage Fund"/>
    <n v="500"/>
    <n v="500"/>
    <n v="0.33"/>
    <n v="2565"/>
    <n v="10"/>
    <s v="Anurag Mittal"/>
    <n v="6.28"/>
    <n v="3.18"/>
    <n v="2.63"/>
    <n v="0.14000000000000001"/>
    <n v="1.1399999999999999"/>
    <n v="2"/>
    <s v="UTI Mutual Fund"/>
    <n v="5"/>
    <s v="Debt"/>
    <s v="Low Duration Funds"/>
    <n v="5.2"/>
    <n v="7.3"/>
    <n v="4.8"/>
  </r>
  <r>
    <s v="UTI-Ultra Short Term Fund"/>
    <n v="500"/>
    <n v="500"/>
    <n v="0.44"/>
    <n v="2130"/>
    <n v="10"/>
    <s v="Ritesh Nambiar"/>
    <n v="7.6"/>
    <n v="2.62"/>
    <n v="1.51"/>
    <n v="0.49"/>
    <n v="1.3"/>
    <n v="3"/>
    <s v="UTI Mutual Fund"/>
    <n v="5"/>
    <s v="Debt"/>
    <s v="Ultra Short Duration Funds"/>
    <n v="5.4"/>
    <n v="6.1"/>
    <n v="5.7"/>
  </r>
  <r>
    <s v="UTI-Unit Linked Insurance Plan â€“ Direct"/>
    <n v="500"/>
    <n v="15000"/>
    <n v="0.96"/>
    <n v="5068"/>
    <n v="10"/>
    <s v="Amandeep Chopra"/>
    <n v="2.4700000000000002"/>
    <n v="0.92"/>
    <n v="7.06"/>
    <n v="0.44"/>
    <n v="1.29"/>
    <n v="4"/>
    <s v="UTI Mutual Fund"/>
    <n v="0"/>
    <s v="Hybrid"/>
    <s v="Dynamic Asset Allocation or Balanced Advantage"/>
    <n v="-0.7"/>
    <n v="13.1"/>
    <n v="6.2"/>
  </r>
  <r>
    <s v="UTI-Value Opportunities Fund"/>
    <n v="500"/>
    <n v="5000"/>
    <n v="1.1599999999999999"/>
    <n v="6740"/>
    <n v="10"/>
    <s v="Vetri Subramaniam"/>
    <n v="3.21"/>
    <n v="2.73"/>
    <n v="15.62"/>
    <n v="0.9"/>
    <n v="1.48"/>
    <n v="6"/>
    <s v="UTI Mutual Fund"/>
    <n v="4"/>
    <s v="Equity"/>
    <s v="Value Funds"/>
    <n v="1.7"/>
    <n v="27.2"/>
    <n v="12.2"/>
  </r>
  <r>
    <s v="WhiteOak Capital Liquid Fund"/>
    <n v="500"/>
    <n v="500"/>
    <n v="0.26"/>
    <n v="197"/>
    <n v="4"/>
    <s v="Piyush Baranwal"/>
    <n v="-0.42"/>
    <n v="0.93"/>
    <n v="0.39"/>
    <n v="0.72"/>
    <n v="-7.0000000000000007E-2"/>
    <n v="1"/>
    <s v="WhiteOak Capital Mutual Fund"/>
    <n v="1"/>
    <s v="Debt"/>
    <s v="Liquid Mutual Funds"/>
    <n v="5.3"/>
    <n v="3.8"/>
    <m/>
  </r>
  <r>
    <s v="WhiteOak Capital Overnight Fund"/>
    <n v="500"/>
    <n v="500"/>
    <n v="0.22"/>
    <n v="14"/>
    <n v="4"/>
    <s v="Piyush Baranwal"/>
    <n v="-0.42"/>
    <n v="0.93"/>
    <n v="0.39"/>
    <n v="0.72"/>
    <n v="-7.0000000000000007E-2"/>
    <n v="1"/>
    <s v="WhiteOak Capital Mutual Fund"/>
    <n v="1"/>
    <s v="Debt"/>
    <s v="Overnight Mutual Funds"/>
    <n v="1.7"/>
    <n v="32.4"/>
    <n v="13.3"/>
  </r>
  <r>
    <s v="WhiteOak Capital Ultra Short Term Fund"/>
    <n v="500"/>
    <n v="500"/>
    <n v="0.33"/>
    <n v="141"/>
    <n v="4"/>
    <s v="Piyush Baranwal"/>
    <n v="2.81"/>
    <n v="1.2"/>
    <n v="0.72"/>
    <n v="0.47"/>
    <n v="0.8"/>
    <n v="1"/>
    <s v="WhiteOak Capital Mutual Fund"/>
    <n v="2"/>
    <s v="Debt"/>
    <s v="Ultra Short Duration Funds"/>
    <n v="5.3"/>
    <n v="4.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subtotalHiddenItems="1" itemPrintTitles="1" createdVersion="7" indent="0" outline="1" outlineData="1" multipleFieldFilters="0" chartFormat="3">
  <location ref="A1:B1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Sum of min_lumpsum" fld="1"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comprehensive_mutual_funds_data(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8:C19"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fund_age_yr" fld="1"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comprehensive_mutual_funds_data(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6" minRefreshableVersion="3" useAutoFormatting="1" subtotalHiddenItems="1" itemPrintTitles="1" createdVersion="7" indent="0" outline="1" outlineData="1" multipleFieldFilters="0" chartFormat="25">
  <location ref="C6:F17" firstHeaderRow="0" firstDataRow="1" firstDataCol="1"/>
  <pivotFields count="5">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howAll="0" dataSourceSort="1"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returns_3yr" fld="2" baseField="0" baseItem="0"/>
    <dataField name="Sum of returns_5yr" fld="3" baseField="0" baseItem="0"/>
    <dataField name="Sum of returns_1yr" fld="1" baseField="0" baseItem="0"/>
  </dataFields>
  <chartFormats count="6">
    <chartFormat chart="22"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1"/>
          </reference>
        </references>
      </pivotArea>
    </chartFormat>
    <chartFormat chart="22" format="5" series="1">
      <pivotArea type="data" outline="0" fieldPosition="0">
        <references count="1">
          <reference field="4294967294" count="1" selected="0">
            <x v="2"/>
          </reference>
        </references>
      </pivotArea>
    </chartFormat>
    <chartFormat chart="24" format="9"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1"/>
          </reference>
        </references>
      </pivotArea>
    </chartFormat>
    <chartFormat chart="24" format="11" series="1">
      <pivotArea type="data" outline="0" fieldPosition="0">
        <references count="1">
          <reference field="4294967294" count="1" selected="0">
            <x v="2"/>
          </reference>
        </references>
      </pivotArea>
    </chartFormat>
  </chartFormats>
  <pivotHierarchies count="3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comprehensive_mutual_funds_data(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6" cacheId="6" applyNumberFormats="0" applyBorderFormats="0" applyFontFormats="0" applyPatternFormats="0" applyAlignmentFormats="0" applyWidthHeightFormats="1" dataCaption="Values" updatedVersion="6" minRefreshableVersion="3" useAutoFormatting="1" subtotalHiddenItems="1" itemPrintTitles="1" createdVersion="7" indent="0" outline="1" outlineData="1" multipleFieldFilters="0" chartFormat="6">
  <location ref="C8:D1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howAll="0" dataSourceSort="1" defaultAttributeDrillState="1"/>
  </pivotFields>
  <rowFields count="1">
    <field x="0"/>
  </rowFields>
  <rowItems count="6">
    <i>
      <x/>
    </i>
    <i>
      <x v="1"/>
    </i>
    <i>
      <x v="2"/>
    </i>
    <i>
      <x v="3"/>
    </i>
    <i>
      <x v="4"/>
    </i>
    <i t="grand">
      <x/>
    </i>
  </rowItems>
  <colItems count="1">
    <i/>
  </colItems>
  <dataFields count="1">
    <dataField name="Count of category" fld="1" subtotal="count" baseField="0" baseItem="0"/>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0" count="1" selected="0">
            <x v="0"/>
          </reference>
        </references>
      </pivotArea>
    </chartFormat>
    <chartFormat chart="5" format="20">
      <pivotArea type="data" outline="0" fieldPosition="0">
        <references count="2">
          <reference field="4294967294" count="1" selected="0">
            <x v="0"/>
          </reference>
          <reference field="0" count="1" selected="0">
            <x v="1"/>
          </reference>
        </references>
      </pivotArea>
    </chartFormat>
    <chartFormat chart="5" format="21">
      <pivotArea type="data" outline="0" fieldPosition="0">
        <references count="2">
          <reference field="4294967294" count="1" selected="0">
            <x v="0"/>
          </reference>
          <reference field="0" count="1" selected="0">
            <x v="2"/>
          </reference>
        </references>
      </pivotArea>
    </chartFormat>
    <chartFormat chart="5" format="22">
      <pivotArea type="data" outline="0" fieldPosition="0">
        <references count="2">
          <reference field="4294967294" count="1" selected="0">
            <x v="0"/>
          </reference>
          <reference field="0" count="1" selected="0">
            <x v="3"/>
          </reference>
        </references>
      </pivotArea>
    </chartFormat>
    <chartFormat chart="5" format="23">
      <pivotArea type="data" outline="0" fieldPosition="0">
        <references count="2">
          <reference field="4294967294" count="1" selected="0">
            <x v="0"/>
          </reference>
          <reference field="0" count="1" selected="0">
            <x v="4"/>
          </reference>
        </references>
      </pivotArea>
    </chartFormat>
  </chartFormats>
  <pivotHierarchies count="3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comprehensive_mutual_funds_data(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6" minRefreshableVersion="3" useAutoFormatting="1" subtotalHiddenItems="1" itemPrintTitles="1" createdVersion="7" indent="0" outline="1" outlineData="1" multipleFieldFilters="0" chartFormat="5">
  <location ref="C8:D1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howAll="0" dataSourceSort="1" defaultAttributeDrillState="1"/>
  </pivotFields>
  <rowFields count="1">
    <field x="0"/>
  </rowFields>
  <rowItems count="6">
    <i>
      <x/>
    </i>
    <i>
      <x v="1"/>
    </i>
    <i>
      <x v="2"/>
    </i>
    <i>
      <x v="3"/>
    </i>
    <i>
      <x v="4"/>
    </i>
    <i t="grand">
      <x/>
    </i>
  </rowItems>
  <colItems count="1">
    <i/>
  </colItems>
  <dataFields count="1">
    <dataField name="Sum of risk_level" fld="1"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4" format="30" series="1">
      <pivotArea type="data" outline="0" fieldPosition="0">
        <references count="1">
          <reference field="4294967294" count="1" selected="0">
            <x v="0"/>
          </reference>
        </references>
      </pivotArea>
    </chartFormat>
    <chartFormat chart="4" format="31">
      <pivotArea type="data" outline="0" fieldPosition="0">
        <references count="2">
          <reference field="4294967294" count="1" selected="0">
            <x v="0"/>
          </reference>
          <reference field="0" count="1" selected="0">
            <x v="0"/>
          </reference>
        </references>
      </pivotArea>
    </chartFormat>
    <chartFormat chart="4" format="32">
      <pivotArea type="data" outline="0" fieldPosition="0">
        <references count="2">
          <reference field="4294967294" count="1" selected="0">
            <x v="0"/>
          </reference>
          <reference field="0" count="1" selected="0">
            <x v="1"/>
          </reference>
        </references>
      </pivotArea>
    </chartFormat>
    <chartFormat chart="4" format="33">
      <pivotArea type="data" outline="0" fieldPosition="0">
        <references count="2">
          <reference field="4294967294" count="1" selected="0">
            <x v="0"/>
          </reference>
          <reference field="0" count="1" selected="0">
            <x v="2"/>
          </reference>
        </references>
      </pivotArea>
    </chartFormat>
    <chartFormat chart="4" format="34">
      <pivotArea type="data" outline="0" fieldPosition="0">
        <references count="2">
          <reference field="4294967294" count="1" selected="0">
            <x v="0"/>
          </reference>
          <reference field="0" count="1" selected="0">
            <x v="3"/>
          </reference>
        </references>
      </pivotArea>
    </chartFormat>
    <chartFormat chart="4" format="35">
      <pivotArea type="data" outline="0" fieldPosition="0">
        <references count="2">
          <reference field="4294967294" count="1" selected="0">
            <x v="0"/>
          </reference>
          <reference field="0" count="1" selected="0">
            <x v="4"/>
          </reference>
        </references>
      </pivotArea>
    </chartFormat>
  </chartFormats>
  <pivotHierarchies count="3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comprehensive_mutual_funds_data(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8:F9" firstHeaderRow="1" firstDataRow="1" firstDataCol="0"/>
  <pivotFields count="2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fund_manage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subtotalHiddenItems="1" itemPrintTitles="1" createdVersion="7" indent="0" outline="1" outlineData="1" multipleFieldFilters="0">
  <location ref="G14:K1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howAll="0" dataSourceSort="1" defaultAttributeDrillState="1"/>
  </pivotFields>
  <rowItems count="1">
    <i/>
  </rowItems>
  <colFields count="1">
    <field x="-2"/>
  </colFields>
  <colItems count="5">
    <i>
      <x/>
    </i>
    <i i="1">
      <x v="1"/>
    </i>
    <i i="2">
      <x v="2"/>
    </i>
    <i i="3">
      <x v="3"/>
    </i>
    <i i="4">
      <x v="4"/>
    </i>
  </colItems>
  <dataFields count="5">
    <dataField name="Average of min_lumpsum" fld="2" subtotal="average" baseField="0" baseItem="0" numFmtId="1"/>
    <dataField name="Average of risk_level" fld="3" subtotal="average" baseField="0" baseItem="0" numFmtId="1"/>
    <dataField name="Average of expense_ratio" fld="4" subtotal="average" baseField="0" baseItem="0" numFmtId="164"/>
    <dataField name="Count of fund_manager" fld="0" subtotal="count" baseField="0" baseItem="0"/>
    <dataField name="Count of scheme_name" fld="1" subtotal="count" baseField="0" baseItem="0"/>
  </dataFields>
  <formats count="24">
    <format dxfId="23">
      <pivotArea outline="0" collapsedLevelsAreSubtotals="1" fieldPosition="0">
        <references count="1">
          <reference field="4294967294" count="1" selected="0">
            <x v="1"/>
          </reference>
        </references>
      </pivotArea>
    </format>
    <format dxfId="22">
      <pivotArea outline="0" collapsedLevelsAreSubtotals="1" fieldPosition="0">
        <references count="1">
          <reference field="4294967294" count="1" selected="0">
            <x v="1"/>
          </reference>
        </references>
      </pivotArea>
    </format>
    <format dxfId="21">
      <pivotArea outline="0" collapsedLevelsAreSubtotals="1" fieldPosition="0">
        <references count="1">
          <reference field="4294967294" count="1" selected="0">
            <x v="1"/>
          </reference>
        </references>
      </pivotArea>
    </format>
    <format dxfId="20">
      <pivotArea outline="0" collapsedLevelsAreSubtotals="1" fieldPosition="0">
        <references count="1">
          <reference field="4294967294" count="1" selected="0">
            <x v="1"/>
          </reference>
        </references>
      </pivotArea>
    </format>
    <format dxfId="19">
      <pivotArea outline="0" collapsedLevelsAreSubtotals="1" fieldPosition="0">
        <references count="1">
          <reference field="4294967294" count="1" selected="0">
            <x v="1"/>
          </reference>
        </references>
      </pivotArea>
    </format>
    <format dxfId="18">
      <pivotArea outline="0" collapsedLevelsAreSubtotals="1" fieldPosition="0">
        <references count="1">
          <reference field="4294967294" count="1" selected="0">
            <x v="1"/>
          </reference>
        </references>
      </pivotArea>
    </format>
    <format dxfId="17">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0"/>
          </reference>
        </references>
      </pivotArea>
    </format>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0"/>
          </reference>
        </references>
      </pivotArea>
    </format>
    <format dxfId="12">
      <pivotArea outline="0" collapsedLevelsAreSubtotals="1" fieldPosition="0">
        <references count="1">
          <reference field="4294967294" count="1" selected="0">
            <x v="1"/>
          </reference>
        </references>
      </pivotArea>
    </format>
    <format dxfId="11">
      <pivotArea outline="0" collapsedLevelsAreSubtotals="1" fieldPosition="0">
        <references count="1">
          <reference field="4294967294" count="1" selected="0">
            <x v="1"/>
          </reference>
        </references>
      </pivotArea>
    </format>
    <format dxfId="10">
      <pivotArea outline="0" collapsedLevelsAreSubtotals="1" fieldPosition="0">
        <references count="1">
          <reference field="4294967294" count="1" selected="0">
            <x v="1"/>
          </reference>
        </references>
      </pivotArea>
    </format>
    <format dxfId="9">
      <pivotArea outline="0" collapsedLevelsAreSubtotals="1" fieldPosition="0">
        <references count="1">
          <reference field="4294967294" count="1" selected="0">
            <x v="2"/>
          </reference>
        </references>
      </pivotArea>
    </format>
    <format dxfId="8">
      <pivotArea outline="0" collapsedLevelsAreSubtotals="1" fieldPosition="0">
        <references count="1">
          <reference field="4294967294" count="1" selected="0">
            <x v="2"/>
          </reference>
        </references>
      </pivotArea>
    </format>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2"/>
          </reference>
        </references>
      </pivotArea>
    </format>
  </formats>
  <pivotHierarchies count="3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comprehensive_mutual_funds_data(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in_sip" sourceName="[table1].[min_sip]">
  <pivotTables>
    <pivotTable tabId="16" name="PivotTable5"/>
    <pivotTable tabId="17" name="PivotTable2"/>
    <pivotTable tabId="21" name="PivotTable7"/>
    <pivotTable tabId="19" name="PivotTable4"/>
    <pivotTable tabId="20" name="PivotTable6"/>
  </pivotTables>
  <data>
    <olap pivotCacheId="1">
      <levels count="2">
        <level uniqueName="[table1].[min_sip].[(All)]" sourceCaption="(All)" count="0"/>
        <level uniqueName="[table1].[min_sip].[min_sip]" sourceCaption="min_sip" count="9">
          <ranges>
            <range startItem="0">
              <i n="[table1].[min_sip].&amp;[0]" c="0"/>
              <i n="[table1].[min_sip].&amp;[100]" c="100"/>
              <i n="[table1].[min_sip].&amp;[150]" c="150"/>
              <i n="[table1].[min_sip].&amp;[250]" c="250"/>
              <i n="[table1].[min_sip].&amp;[300]" c="300"/>
              <i n="[table1].[min_sip].&amp;[500]" c="500"/>
              <i n="[table1].[min_sip].&amp;[750]" c="750"/>
              <i n="[table1].[min_sip].&amp;[1000]" c="1000"/>
              <i n="[table1].[min_sip].&amp;[2000]" c="2000"/>
            </range>
          </ranges>
        </level>
      </levels>
      <selections count="1">
        <selection n="[table1].[min_si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fund_age_yr" sourceName="[table1].[fund_age_yr]">
  <pivotTables>
    <pivotTable tabId="16" name="PivotTable5"/>
    <pivotTable tabId="17" name="PivotTable2"/>
    <pivotTable tabId="21" name="PivotTable7"/>
    <pivotTable tabId="19" name="PivotTable4"/>
    <pivotTable tabId="20" name="PivotTable6"/>
  </pivotTables>
  <data>
    <olap pivotCacheId="1">
      <levels count="2">
        <level uniqueName="[table1].[fund_age_yr].[(All)]" sourceCaption="(All)" count="0"/>
        <level uniqueName="[table1].[fund_age_yr].[fund_age_yr]" sourceCaption="fund_age_yr" count="13">
          <ranges>
            <range startItem="0">
              <i n="[table1].[fund_age_yr].&amp;[2]" c="2"/>
              <i n="[table1].[fund_age_yr].&amp;[3]" c="3"/>
              <i n="[table1].[fund_age_yr].&amp;[4]" c="4"/>
              <i n="[table1].[fund_age_yr].&amp;[5]" c="5"/>
              <i n="[table1].[fund_age_yr].&amp;[6]" c="6"/>
              <i n="[table1].[fund_age_yr].&amp;[7]" c="7"/>
              <i n="[table1].[fund_age_yr].&amp;[8]" c="8"/>
              <i n="[table1].[fund_age_yr].&amp;[9]" c="9"/>
              <i n="[table1].[fund_age_yr].&amp;[10]" c="10"/>
              <i n="[table1].[fund_age_yr].&amp;[11]" c="11"/>
              <i n="[table1].[fund_age_yr].&amp;[12]" c="12"/>
              <i n="[table1].[fund_age_yr].&amp;[14]" c="14"/>
              <i n="[table1].[fund_age_yr].&amp;[17]" c="17"/>
            </range>
          </ranges>
        </level>
      </levels>
      <selections count="1">
        <selection n="[table1].[fund_age_y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table1].[category]">
  <pivotTables>
    <pivotTable tabId="16" name="PivotTable5"/>
    <pivotTable tabId="17" name="PivotTable2"/>
    <pivotTable tabId="21" name="PivotTable7"/>
    <pivotTable tabId="19" name="PivotTable4"/>
    <pivotTable tabId="20" name="PivotTable6"/>
  </pivotTables>
  <data>
    <olap pivotCacheId="1">
      <levels count="2">
        <level uniqueName="[table1].[category].[(All)]" sourceCaption="(All)" count="0"/>
        <level uniqueName="[table1].[category].[category]" sourceCaption="category" count="5">
          <ranges>
            <range startItem="0">
              <i n="[table1].[category].&amp;[Debt]" c="Debt"/>
              <i n="[table1].[category].&amp;[Equity]" c="Equity"/>
              <i n="[table1].[category].&amp;[Hybrid]" c="Hybrid"/>
              <i n="[table1].[category].&amp;[Other]" c="Other"/>
              <i n="[table1].[category].&amp;[Solution Oriented]" c="Solution Oriented"/>
            </range>
          </ranges>
        </level>
      </levels>
      <selections count="1">
        <selection n="[table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in_sip 1" cache="Slicer_min_sip" caption="min_sip" columnCount="3" level="1" style="SlicerStyleLight5" rowHeight="234950"/>
  <slicer name="fund_age_yr 1" cache="Slicer_fund_age_yr" caption="fund_age_yr" level="1" style="SlicerStyleLight5" rowHeight="234950"/>
  <slicer name="category 1" cache="Slicer_category" caption="category" level="1"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min_sip" cache="Slicer_min_sip" caption="min_sip" level="1" rowHeight="234950"/>
  <slicer name="fund_age_yr" cache="Slicer_fund_age_yr" caption="fund_age_yr" level="1" rowHeight="234950"/>
  <slicer name="category" cache="Slicer_category" caption="category" level="1" rowHeight="234950"/>
</slicers>
</file>

<file path=xl/tables/table1.xml><?xml version="1.0" encoding="utf-8"?>
<table xmlns="http://schemas.openxmlformats.org/spreadsheetml/2006/main" id="1" name="Table1" displayName="Table1" ref="A1:T489" totalsRowShown="0">
  <autoFilter ref="A1:T489"/>
  <tableColumns count="20">
    <tableColumn id="1" name="scheme_name"/>
    <tableColumn id="2" name="min_sip"/>
    <tableColumn id="3" name="min_lumpsum"/>
    <tableColumn id="4" name="expense_ratio"/>
    <tableColumn id="5" name="fund_size_cr"/>
    <tableColumn id="6" name="fund_age_yr"/>
    <tableColumn id="7" name="fund_manager"/>
    <tableColumn id="8" name="sortino"/>
    <tableColumn id="9" name="alpha"/>
    <tableColumn id="10" name="sd"/>
    <tableColumn id="11" name="beta"/>
    <tableColumn id="12" name="sharpe"/>
    <tableColumn id="13" name="risk_level"/>
    <tableColumn id="14" name="amc_name"/>
    <tableColumn id="15" name="rating"/>
    <tableColumn id="16" name="category"/>
    <tableColumn id="17" name="sub_category"/>
    <tableColumn id="18" name="returns_1yr"/>
    <tableColumn id="19" name="returns_3yr"/>
    <tableColumn id="20" name="returns_5y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89"/>
  <sheetViews>
    <sheetView topLeftCell="G1" workbookViewId="0">
      <selection activeCell="A19" sqref="A19"/>
    </sheetView>
  </sheetViews>
  <sheetFormatPr defaultRowHeight="14.4" x14ac:dyDescent="0.3"/>
  <cols>
    <col min="1" max="1" width="53.44140625" bestFit="1" customWidth="1"/>
    <col min="2" max="2" width="9.77734375" bestFit="1" customWidth="1"/>
    <col min="3" max="3" width="15.44140625" bestFit="1" customWidth="1"/>
    <col min="4" max="4" width="14.6640625" customWidth="1"/>
    <col min="5" max="5" width="13.44140625" customWidth="1"/>
    <col min="6" max="6" width="13.5546875" customWidth="1"/>
    <col min="7" max="7" width="25.5546875" bestFit="1" customWidth="1"/>
    <col min="8" max="8" width="8.77734375" customWidth="1"/>
    <col min="9" max="9" width="7.5546875" customWidth="1"/>
    <col min="13" max="13" width="10.6640625" customWidth="1"/>
    <col min="14" max="14" width="28.109375" bestFit="1" customWidth="1"/>
    <col min="16" max="16" width="10.21875" customWidth="1"/>
    <col min="17" max="17" width="41.33203125" bestFit="1" customWidth="1"/>
    <col min="18" max="20" width="12.5546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v>100</v>
      </c>
      <c r="C2">
        <v>100</v>
      </c>
      <c r="D2">
        <v>0.27</v>
      </c>
      <c r="E2">
        <v>10</v>
      </c>
      <c r="F2">
        <v>10</v>
      </c>
      <c r="G2" t="s">
        <v>21</v>
      </c>
      <c r="H2">
        <v>0.32</v>
      </c>
      <c r="I2">
        <v>2.2400000000000002</v>
      </c>
      <c r="J2">
        <v>9.39</v>
      </c>
      <c r="K2">
        <v>0.01</v>
      </c>
      <c r="L2">
        <v>0.24</v>
      </c>
      <c r="M2">
        <v>3</v>
      </c>
      <c r="N2" t="s">
        <v>22</v>
      </c>
      <c r="O2">
        <v>3</v>
      </c>
      <c r="P2" t="s">
        <v>23</v>
      </c>
      <c r="Q2" t="s">
        <v>24</v>
      </c>
      <c r="R2">
        <v>4</v>
      </c>
      <c r="S2">
        <v>6.5</v>
      </c>
      <c r="T2">
        <v>6.9</v>
      </c>
    </row>
    <row r="3" spans="1:20" x14ac:dyDescent="0.3">
      <c r="A3" t="s">
        <v>25</v>
      </c>
      <c r="B3">
        <v>1000</v>
      </c>
      <c r="C3">
        <v>1000</v>
      </c>
      <c r="D3">
        <v>0.36</v>
      </c>
      <c r="E3">
        <v>4288</v>
      </c>
      <c r="F3">
        <v>10</v>
      </c>
      <c r="G3" t="s">
        <v>26</v>
      </c>
      <c r="H3">
        <v>1.33</v>
      </c>
      <c r="I3">
        <v>1.53</v>
      </c>
      <c r="J3">
        <v>0.72</v>
      </c>
      <c r="K3">
        <v>0.56000000000000005</v>
      </c>
      <c r="L3">
        <v>1.1000000000000001</v>
      </c>
      <c r="M3">
        <v>1</v>
      </c>
      <c r="N3" t="s">
        <v>22</v>
      </c>
      <c r="O3">
        <v>3</v>
      </c>
      <c r="P3" t="s">
        <v>27</v>
      </c>
      <c r="Q3" t="s">
        <v>28</v>
      </c>
      <c r="R3">
        <v>5.6</v>
      </c>
      <c r="S3">
        <v>4.8</v>
      </c>
      <c r="T3">
        <v>5.5</v>
      </c>
    </row>
    <row r="4" spans="1:20" x14ac:dyDescent="0.3">
      <c r="A4" t="s">
        <v>65</v>
      </c>
      <c r="B4">
        <v>1000</v>
      </c>
      <c r="C4">
        <v>5000</v>
      </c>
      <c r="D4">
        <v>0.22</v>
      </c>
      <c r="E4">
        <v>161</v>
      </c>
      <c r="F4">
        <v>3</v>
      </c>
      <c r="G4" t="s">
        <v>66</v>
      </c>
      <c r="H4">
        <v>1.77</v>
      </c>
      <c r="I4">
        <v>1.88</v>
      </c>
      <c r="J4">
        <v>2.06</v>
      </c>
      <c r="K4">
        <v>0.8</v>
      </c>
      <c r="L4">
        <v>1.02</v>
      </c>
      <c r="M4">
        <v>4</v>
      </c>
      <c r="N4" t="s">
        <v>67</v>
      </c>
      <c r="O4">
        <v>4</v>
      </c>
      <c r="P4" t="s">
        <v>23</v>
      </c>
      <c r="Q4" t="s">
        <v>24</v>
      </c>
      <c r="R4">
        <v>4.7</v>
      </c>
      <c r="S4">
        <v>6.2</v>
      </c>
    </row>
    <row r="5" spans="1:20" x14ac:dyDescent="0.3">
      <c r="A5" t="s">
        <v>74</v>
      </c>
      <c r="B5">
        <v>1000</v>
      </c>
      <c r="C5">
        <v>500</v>
      </c>
      <c r="D5">
        <v>0.15</v>
      </c>
      <c r="E5">
        <v>953</v>
      </c>
      <c r="F5">
        <v>3</v>
      </c>
      <c r="G5" t="s">
        <v>68</v>
      </c>
      <c r="H5">
        <v>2.93</v>
      </c>
      <c r="I5">
        <v>-1.76</v>
      </c>
      <c r="J5">
        <v>16.66</v>
      </c>
      <c r="K5">
        <v>0.99</v>
      </c>
      <c r="L5">
        <v>1.24</v>
      </c>
      <c r="M5">
        <v>6</v>
      </c>
      <c r="N5" t="s">
        <v>67</v>
      </c>
      <c r="O5">
        <v>3</v>
      </c>
      <c r="P5" t="s">
        <v>23</v>
      </c>
      <c r="Q5" t="s">
        <v>56</v>
      </c>
      <c r="R5">
        <v>-1.7</v>
      </c>
      <c r="S5">
        <v>25.1</v>
      </c>
    </row>
    <row r="6" spans="1:20" x14ac:dyDescent="0.3">
      <c r="A6" t="s">
        <v>75</v>
      </c>
      <c r="B6">
        <v>1000</v>
      </c>
      <c r="C6">
        <v>5000</v>
      </c>
      <c r="D6">
        <v>0.65</v>
      </c>
      <c r="E6">
        <v>633</v>
      </c>
      <c r="F6">
        <v>3</v>
      </c>
      <c r="G6" t="s">
        <v>72</v>
      </c>
      <c r="H6">
        <v>1.56</v>
      </c>
      <c r="I6">
        <v>-4.49</v>
      </c>
      <c r="J6">
        <v>13.03</v>
      </c>
      <c r="K6">
        <v>0.78</v>
      </c>
      <c r="L6">
        <v>0.76</v>
      </c>
      <c r="M6">
        <v>6</v>
      </c>
      <c r="N6" t="s">
        <v>67</v>
      </c>
      <c r="O6">
        <v>1</v>
      </c>
      <c r="P6" t="s">
        <v>29</v>
      </c>
      <c r="Q6" t="s">
        <v>60</v>
      </c>
      <c r="R6">
        <v>-4.0999999999999996</v>
      </c>
      <c r="S6">
        <v>14</v>
      </c>
    </row>
    <row r="7" spans="1:20" x14ac:dyDescent="0.3">
      <c r="A7" t="s">
        <v>76</v>
      </c>
      <c r="B7">
        <v>1000</v>
      </c>
      <c r="C7">
        <v>5000</v>
      </c>
      <c r="D7">
        <v>0.3</v>
      </c>
      <c r="E7">
        <v>7096</v>
      </c>
      <c r="F7">
        <v>10</v>
      </c>
      <c r="G7" t="s">
        <v>71</v>
      </c>
      <c r="H7">
        <v>2.78</v>
      </c>
      <c r="I7">
        <v>4.5999999999999996</v>
      </c>
      <c r="J7">
        <v>1.61</v>
      </c>
      <c r="K7">
        <v>1.78</v>
      </c>
      <c r="L7">
        <v>1.38</v>
      </c>
      <c r="M7">
        <v>3</v>
      </c>
      <c r="N7" t="s">
        <v>67</v>
      </c>
      <c r="O7">
        <v>4</v>
      </c>
      <c r="P7" t="s">
        <v>34</v>
      </c>
      <c r="Q7" t="s">
        <v>62</v>
      </c>
      <c r="R7">
        <v>4.9000000000000004</v>
      </c>
      <c r="S7">
        <v>6.9</v>
      </c>
      <c r="T7">
        <v>7.4</v>
      </c>
    </row>
    <row r="8" spans="1:20" x14ac:dyDescent="0.3">
      <c r="A8" t="s">
        <v>77</v>
      </c>
      <c r="B8">
        <v>500</v>
      </c>
      <c r="C8">
        <v>500</v>
      </c>
      <c r="D8">
        <v>0.54</v>
      </c>
      <c r="E8">
        <v>11462</v>
      </c>
      <c r="F8">
        <v>9</v>
      </c>
      <c r="G8" t="s">
        <v>69</v>
      </c>
      <c r="H8">
        <v>3.9</v>
      </c>
      <c r="I8">
        <v>8.34</v>
      </c>
      <c r="J8">
        <v>14.71</v>
      </c>
      <c r="K8">
        <v>0.66</v>
      </c>
      <c r="L8">
        <v>2.06</v>
      </c>
      <c r="M8">
        <v>6</v>
      </c>
      <c r="N8" t="s">
        <v>67</v>
      </c>
      <c r="O8">
        <v>5</v>
      </c>
      <c r="P8" t="s">
        <v>32</v>
      </c>
      <c r="Q8" t="s">
        <v>63</v>
      </c>
      <c r="R8">
        <v>3.4</v>
      </c>
      <c r="S8">
        <v>34.5</v>
      </c>
      <c r="T8">
        <v>19.399999999999999</v>
      </c>
    </row>
    <row r="9" spans="1:20" x14ac:dyDescent="0.3">
      <c r="A9" t="s">
        <v>78</v>
      </c>
      <c r="B9">
        <v>1000</v>
      </c>
      <c r="C9">
        <v>5000</v>
      </c>
      <c r="D9">
        <v>0.39</v>
      </c>
      <c r="E9">
        <v>1644</v>
      </c>
      <c r="F9">
        <v>10</v>
      </c>
      <c r="G9" t="s">
        <v>71</v>
      </c>
      <c r="H9">
        <v>2.27</v>
      </c>
      <c r="I9">
        <v>2.56</v>
      </c>
      <c r="J9">
        <v>1.89</v>
      </c>
      <c r="K9">
        <v>0.7</v>
      </c>
      <c r="L9">
        <v>1.46</v>
      </c>
      <c r="M9">
        <v>4</v>
      </c>
      <c r="N9" t="s">
        <v>67</v>
      </c>
      <c r="O9">
        <v>4</v>
      </c>
      <c r="P9" t="s">
        <v>34</v>
      </c>
      <c r="Q9" t="s">
        <v>53</v>
      </c>
      <c r="R9">
        <v>5.2</v>
      </c>
      <c r="S9">
        <v>7.4</v>
      </c>
      <c r="T9">
        <v>7.4</v>
      </c>
    </row>
    <row r="10" spans="1:20" x14ac:dyDescent="0.3">
      <c r="A10" t="s">
        <v>79</v>
      </c>
      <c r="B10">
        <v>1000</v>
      </c>
      <c r="C10">
        <v>5000</v>
      </c>
      <c r="D10">
        <v>0.28999999999999998</v>
      </c>
      <c r="E10">
        <v>4614</v>
      </c>
      <c r="F10">
        <v>10</v>
      </c>
      <c r="G10" t="s">
        <v>71</v>
      </c>
      <c r="H10">
        <v>3.73</v>
      </c>
      <c r="I10">
        <v>3.09</v>
      </c>
      <c r="J10">
        <v>0.87</v>
      </c>
      <c r="K10">
        <v>1.17</v>
      </c>
      <c r="L10">
        <v>1.75</v>
      </c>
      <c r="M10">
        <v>2</v>
      </c>
      <c r="N10" t="s">
        <v>67</v>
      </c>
      <c r="O10">
        <v>4</v>
      </c>
      <c r="P10" t="s">
        <v>34</v>
      </c>
      <c r="Q10" t="s">
        <v>52</v>
      </c>
      <c r="R10">
        <v>5.3</v>
      </c>
      <c r="S10">
        <v>5.9</v>
      </c>
      <c r="T10">
        <v>6.6</v>
      </c>
    </row>
    <row r="11" spans="1:20" x14ac:dyDescent="0.3">
      <c r="A11" t="s">
        <v>80</v>
      </c>
      <c r="B11">
        <v>1000</v>
      </c>
      <c r="C11">
        <v>500</v>
      </c>
      <c r="D11">
        <v>0.72</v>
      </c>
      <c r="E11">
        <v>1478</v>
      </c>
      <c r="F11">
        <v>10</v>
      </c>
      <c r="G11" t="s">
        <v>66</v>
      </c>
      <c r="H11">
        <v>2.35</v>
      </c>
      <c r="I11">
        <v>-2.21</v>
      </c>
      <c r="J11">
        <v>13.44</v>
      </c>
      <c r="K11">
        <v>0.91</v>
      </c>
      <c r="L11">
        <v>1.08</v>
      </c>
      <c r="M11">
        <v>6</v>
      </c>
      <c r="N11" t="s">
        <v>67</v>
      </c>
      <c r="O11">
        <v>2</v>
      </c>
      <c r="P11" t="s">
        <v>27</v>
      </c>
      <c r="Q11" t="s">
        <v>81</v>
      </c>
      <c r="R11">
        <v>-5.0999999999999996</v>
      </c>
      <c r="S11">
        <v>18.100000000000001</v>
      </c>
      <c r="T11">
        <v>10.4</v>
      </c>
    </row>
    <row r="12" spans="1:20" x14ac:dyDescent="0.3">
      <c r="A12" t="s">
        <v>82</v>
      </c>
      <c r="B12">
        <v>1000</v>
      </c>
      <c r="C12">
        <v>5000</v>
      </c>
      <c r="D12">
        <v>0.31</v>
      </c>
      <c r="E12">
        <v>4491</v>
      </c>
      <c r="F12">
        <v>5</v>
      </c>
      <c r="G12" t="s">
        <v>70</v>
      </c>
      <c r="H12">
        <v>4.47</v>
      </c>
      <c r="I12">
        <v>2.29</v>
      </c>
      <c r="J12">
        <v>0.53</v>
      </c>
      <c r="K12">
        <v>0.81</v>
      </c>
      <c r="L12">
        <v>2.25</v>
      </c>
      <c r="M12">
        <v>3</v>
      </c>
      <c r="N12" t="s">
        <v>67</v>
      </c>
      <c r="O12">
        <v>4</v>
      </c>
      <c r="P12" t="s">
        <v>34</v>
      </c>
      <c r="Q12" t="s">
        <v>61</v>
      </c>
      <c r="R12">
        <v>5.7</v>
      </c>
      <c r="S12">
        <v>5.4</v>
      </c>
    </row>
    <row r="13" spans="1:20" x14ac:dyDescent="0.3">
      <c r="A13" t="s">
        <v>83</v>
      </c>
      <c r="B13">
        <v>100</v>
      </c>
      <c r="C13">
        <v>1000</v>
      </c>
      <c r="D13">
        <v>0.42</v>
      </c>
      <c r="E13">
        <v>16</v>
      </c>
      <c r="F13">
        <v>10</v>
      </c>
      <c r="G13" t="s">
        <v>84</v>
      </c>
      <c r="H13">
        <v>2.27</v>
      </c>
      <c r="I13">
        <v>0.73</v>
      </c>
      <c r="J13">
        <v>6.59</v>
      </c>
      <c r="K13">
        <v>0.43</v>
      </c>
      <c r="L13">
        <v>1.31</v>
      </c>
      <c r="M13">
        <v>5</v>
      </c>
      <c r="N13" t="s">
        <v>85</v>
      </c>
      <c r="O13">
        <v>0</v>
      </c>
      <c r="P13" t="s">
        <v>23</v>
      </c>
      <c r="Q13" t="s">
        <v>24</v>
      </c>
      <c r="R13">
        <v>1.3</v>
      </c>
      <c r="S13">
        <v>12.7</v>
      </c>
      <c r="T13">
        <v>6.9</v>
      </c>
    </row>
    <row r="14" spans="1:20" x14ac:dyDescent="0.3">
      <c r="A14" t="s">
        <v>86</v>
      </c>
      <c r="B14">
        <v>0</v>
      </c>
      <c r="C14">
        <v>5000</v>
      </c>
      <c r="D14">
        <v>0.05</v>
      </c>
      <c r="E14">
        <v>286</v>
      </c>
      <c r="F14">
        <v>4</v>
      </c>
      <c r="G14" t="s">
        <v>87</v>
      </c>
      <c r="H14">
        <v>0.9</v>
      </c>
      <c r="I14">
        <v>9.7799999999999994</v>
      </c>
      <c r="J14">
        <v>3.98</v>
      </c>
      <c r="K14">
        <v>5.4</v>
      </c>
      <c r="L14">
        <v>0.64</v>
      </c>
      <c r="M14">
        <v>3</v>
      </c>
      <c r="N14" t="s">
        <v>85</v>
      </c>
      <c r="O14">
        <v>0</v>
      </c>
      <c r="P14" t="s">
        <v>34</v>
      </c>
      <c r="Q14" t="s">
        <v>73</v>
      </c>
      <c r="R14">
        <v>4.4000000000000004</v>
      </c>
      <c r="S14">
        <v>6.2</v>
      </c>
    </row>
    <row r="15" spans="1:20" x14ac:dyDescent="0.3">
      <c r="A15" t="s">
        <v>88</v>
      </c>
      <c r="B15">
        <v>1000</v>
      </c>
      <c r="C15">
        <v>5000</v>
      </c>
      <c r="D15">
        <v>0.98</v>
      </c>
      <c r="E15">
        <v>12</v>
      </c>
      <c r="F15">
        <v>5</v>
      </c>
      <c r="G15" t="s">
        <v>89</v>
      </c>
      <c r="H15">
        <v>-1.1399999999999999</v>
      </c>
      <c r="I15">
        <v>0.24</v>
      </c>
      <c r="J15">
        <v>0.6</v>
      </c>
      <c r="K15">
        <v>0.52</v>
      </c>
      <c r="L15">
        <v>-0.78</v>
      </c>
      <c r="M15">
        <v>1</v>
      </c>
      <c r="N15" t="s">
        <v>90</v>
      </c>
      <c r="O15">
        <v>1</v>
      </c>
      <c r="P15" t="s">
        <v>27</v>
      </c>
      <c r="Q15" t="s">
        <v>28</v>
      </c>
      <c r="R15">
        <v>4.2</v>
      </c>
      <c r="S15">
        <v>3.4</v>
      </c>
    </row>
    <row r="16" spans="1:20" x14ac:dyDescent="0.3">
      <c r="A16" t="s">
        <v>92</v>
      </c>
      <c r="B16">
        <v>0</v>
      </c>
      <c r="C16">
        <v>500</v>
      </c>
      <c r="D16">
        <v>0.95</v>
      </c>
      <c r="E16">
        <v>51</v>
      </c>
      <c r="F16">
        <v>5</v>
      </c>
      <c r="G16" t="s">
        <v>93</v>
      </c>
      <c r="H16">
        <v>2.64</v>
      </c>
      <c r="I16">
        <v>3.13</v>
      </c>
      <c r="J16">
        <v>17.03</v>
      </c>
      <c r="K16">
        <v>0.87</v>
      </c>
      <c r="L16">
        <v>1.38</v>
      </c>
      <c r="M16">
        <v>6</v>
      </c>
      <c r="N16" t="s">
        <v>90</v>
      </c>
      <c r="O16">
        <v>0</v>
      </c>
      <c r="P16" t="s">
        <v>32</v>
      </c>
      <c r="Q16" t="s">
        <v>64</v>
      </c>
      <c r="R16">
        <v>-4.0999999999999996</v>
      </c>
      <c r="S16">
        <v>27.1</v>
      </c>
      <c r="T16">
        <v>10.6</v>
      </c>
    </row>
    <row r="17" spans="1:20" x14ac:dyDescent="0.3">
      <c r="A17" t="s">
        <v>92</v>
      </c>
      <c r="B17">
        <v>0</v>
      </c>
      <c r="C17">
        <v>500</v>
      </c>
      <c r="D17">
        <v>0.56000000000000005</v>
      </c>
      <c r="E17">
        <v>26</v>
      </c>
      <c r="F17">
        <v>4</v>
      </c>
      <c r="G17" t="s">
        <v>93</v>
      </c>
      <c r="H17">
        <v>2.65</v>
      </c>
      <c r="I17">
        <v>2.58</v>
      </c>
      <c r="J17">
        <v>16.940000000000001</v>
      </c>
      <c r="K17">
        <v>0.87</v>
      </c>
      <c r="L17">
        <v>1.36</v>
      </c>
      <c r="M17">
        <v>6</v>
      </c>
      <c r="N17" t="s">
        <v>90</v>
      </c>
      <c r="O17">
        <v>0</v>
      </c>
      <c r="P17" t="s">
        <v>32</v>
      </c>
      <c r="Q17" t="s">
        <v>64</v>
      </c>
      <c r="R17">
        <v>-4.7</v>
      </c>
      <c r="S17">
        <v>26</v>
      </c>
    </row>
    <row r="18" spans="1:20" x14ac:dyDescent="0.3">
      <c r="A18" t="s">
        <v>94</v>
      </c>
      <c r="B18">
        <v>0</v>
      </c>
      <c r="C18">
        <v>5000</v>
      </c>
      <c r="D18">
        <v>0.17</v>
      </c>
      <c r="E18">
        <v>82</v>
      </c>
      <c r="F18">
        <v>3</v>
      </c>
      <c r="G18" t="s">
        <v>91</v>
      </c>
      <c r="H18">
        <v>1.92</v>
      </c>
      <c r="I18">
        <v>0.76</v>
      </c>
      <c r="J18">
        <v>0.34</v>
      </c>
      <c r="K18">
        <v>0.47</v>
      </c>
      <c r="L18">
        <v>0.39</v>
      </c>
      <c r="M18">
        <v>1</v>
      </c>
      <c r="N18" t="s">
        <v>90</v>
      </c>
      <c r="O18">
        <v>5</v>
      </c>
      <c r="P18" t="s">
        <v>34</v>
      </c>
      <c r="Q18" t="s">
        <v>57</v>
      </c>
      <c r="R18">
        <v>5.5</v>
      </c>
      <c r="S18">
        <v>4</v>
      </c>
    </row>
    <row r="19" spans="1:20" x14ac:dyDescent="0.3">
      <c r="A19" t="s">
        <v>95</v>
      </c>
      <c r="B19">
        <v>1000</v>
      </c>
      <c r="C19">
        <v>5000</v>
      </c>
      <c r="D19">
        <v>0.98</v>
      </c>
      <c r="E19">
        <v>72</v>
      </c>
      <c r="F19">
        <v>10</v>
      </c>
      <c r="G19" t="s">
        <v>91</v>
      </c>
      <c r="H19">
        <v>0.76</v>
      </c>
      <c r="I19">
        <v>3.58</v>
      </c>
      <c r="J19">
        <v>11.44</v>
      </c>
      <c r="K19">
        <v>-0.99</v>
      </c>
      <c r="L19">
        <v>0.43</v>
      </c>
      <c r="M19">
        <v>2</v>
      </c>
      <c r="N19" t="s">
        <v>90</v>
      </c>
      <c r="O19">
        <v>5</v>
      </c>
      <c r="P19" t="s">
        <v>34</v>
      </c>
      <c r="Q19" t="s">
        <v>62</v>
      </c>
      <c r="R19">
        <v>28.3</v>
      </c>
      <c r="S19">
        <v>8.8000000000000007</v>
      </c>
      <c r="T19">
        <v>4</v>
      </c>
    </row>
    <row r="20" spans="1:20" x14ac:dyDescent="0.3">
      <c r="A20" t="s">
        <v>96</v>
      </c>
      <c r="B20">
        <v>1000</v>
      </c>
      <c r="C20">
        <v>5000</v>
      </c>
      <c r="D20">
        <v>1.52</v>
      </c>
      <c r="E20">
        <v>414</v>
      </c>
      <c r="F20">
        <v>4</v>
      </c>
      <c r="G20" t="s">
        <v>93</v>
      </c>
      <c r="H20">
        <v>4.16</v>
      </c>
      <c r="I20">
        <v>8.58</v>
      </c>
      <c r="J20">
        <v>18.440000000000001</v>
      </c>
      <c r="K20">
        <v>0.81</v>
      </c>
      <c r="L20">
        <v>1.93</v>
      </c>
      <c r="M20">
        <v>6</v>
      </c>
      <c r="N20" t="s">
        <v>90</v>
      </c>
      <c r="O20">
        <v>4</v>
      </c>
      <c r="P20" t="s">
        <v>32</v>
      </c>
      <c r="Q20" t="s">
        <v>63</v>
      </c>
      <c r="R20">
        <v>-1</v>
      </c>
      <c r="S20">
        <v>47.7</v>
      </c>
    </row>
    <row r="21" spans="1:20" x14ac:dyDescent="0.3">
      <c r="A21" t="s">
        <v>97</v>
      </c>
      <c r="B21">
        <v>500</v>
      </c>
      <c r="C21">
        <v>500</v>
      </c>
      <c r="D21">
        <v>1.31</v>
      </c>
      <c r="E21">
        <v>676</v>
      </c>
      <c r="F21">
        <v>10</v>
      </c>
      <c r="G21" t="s">
        <v>89</v>
      </c>
      <c r="H21">
        <v>2.88</v>
      </c>
      <c r="I21">
        <v>3.48</v>
      </c>
      <c r="J21">
        <v>16.3</v>
      </c>
      <c r="K21">
        <v>0.89</v>
      </c>
      <c r="L21">
        <v>1.5</v>
      </c>
      <c r="M21">
        <v>6</v>
      </c>
      <c r="N21" t="s">
        <v>90</v>
      </c>
      <c r="O21">
        <v>4</v>
      </c>
      <c r="P21" t="s">
        <v>32</v>
      </c>
      <c r="Q21" t="s">
        <v>64</v>
      </c>
      <c r="R21">
        <v>0.9</v>
      </c>
      <c r="S21">
        <v>29</v>
      </c>
      <c r="T21">
        <v>13.2</v>
      </c>
    </row>
    <row r="22" spans="1:20" x14ac:dyDescent="0.3">
      <c r="A22" t="s">
        <v>98</v>
      </c>
      <c r="B22">
        <v>1000</v>
      </c>
      <c r="C22">
        <v>5000</v>
      </c>
      <c r="D22">
        <v>0.36</v>
      </c>
      <c r="E22">
        <v>118</v>
      </c>
      <c r="F22">
        <v>10</v>
      </c>
      <c r="G22" t="s">
        <v>91</v>
      </c>
      <c r="H22">
        <v>2.16</v>
      </c>
      <c r="I22">
        <v>2.06</v>
      </c>
      <c r="J22">
        <v>0.52</v>
      </c>
      <c r="K22">
        <v>1.1200000000000001</v>
      </c>
      <c r="L22">
        <v>1.07</v>
      </c>
      <c r="M22">
        <v>3</v>
      </c>
      <c r="N22" t="s">
        <v>90</v>
      </c>
      <c r="O22">
        <v>2</v>
      </c>
      <c r="P22" t="s">
        <v>34</v>
      </c>
      <c r="Q22" t="s">
        <v>61</v>
      </c>
      <c r="R22">
        <v>5.2</v>
      </c>
      <c r="S22">
        <v>4.7</v>
      </c>
      <c r="T22">
        <v>5.7</v>
      </c>
    </row>
    <row r="23" spans="1:20" x14ac:dyDescent="0.3">
      <c r="A23" t="s">
        <v>99</v>
      </c>
      <c r="B23">
        <v>300</v>
      </c>
      <c r="C23">
        <v>5000</v>
      </c>
      <c r="D23">
        <v>0.61</v>
      </c>
      <c r="E23">
        <v>772</v>
      </c>
      <c r="F23">
        <v>6</v>
      </c>
      <c r="G23" t="s">
        <v>100</v>
      </c>
      <c r="H23">
        <v>2.79</v>
      </c>
      <c r="I23">
        <v>1.88</v>
      </c>
      <c r="J23">
        <v>11.77</v>
      </c>
      <c r="K23">
        <v>0.79</v>
      </c>
      <c r="L23">
        <v>1.39</v>
      </c>
      <c r="M23">
        <v>6</v>
      </c>
      <c r="N23" t="s">
        <v>101</v>
      </c>
      <c r="O23">
        <v>5</v>
      </c>
      <c r="P23" t="s">
        <v>27</v>
      </c>
      <c r="Q23" t="s">
        <v>42</v>
      </c>
      <c r="R23">
        <v>3.5</v>
      </c>
      <c r="S23">
        <v>20.6</v>
      </c>
      <c r="T23">
        <v>13.3</v>
      </c>
    </row>
    <row r="24" spans="1:20" x14ac:dyDescent="0.3">
      <c r="A24" t="s">
        <v>102</v>
      </c>
      <c r="B24">
        <v>300</v>
      </c>
      <c r="C24">
        <v>5000</v>
      </c>
      <c r="D24">
        <v>0.49</v>
      </c>
      <c r="E24">
        <v>354</v>
      </c>
      <c r="F24">
        <v>6</v>
      </c>
      <c r="G24" t="s">
        <v>103</v>
      </c>
      <c r="H24">
        <v>0.99</v>
      </c>
      <c r="I24">
        <v>1.39</v>
      </c>
      <c r="J24">
        <v>0.71</v>
      </c>
      <c r="K24">
        <v>0.59</v>
      </c>
      <c r="L24">
        <v>0.85</v>
      </c>
      <c r="M24">
        <v>1</v>
      </c>
      <c r="N24" t="s">
        <v>101</v>
      </c>
      <c r="O24">
        <v>3</v>
      </c>
      <c r="P24" t="s">
        <v>27</v>
      </c>
      <c r="Q24" t="s">
        <v>28</v>
      </c>
      <c r="R24">
        <v>5.2</v>
      </c>
      <c r="S24">
        <v>4.5999999999999996</v>
      </c>
      <c r="T24">
        <v>5.6</v>
      </c>
    </row>
    <row r="25" spans="1:20" x14ac:dyDescent="0.3">
      <c r="A25" t="s">
        <v>107</v>
      </c>
      <c r="B25">
        <v>300</v>
      </c>
      <c r="C25">
        <v>5000</v>
      </c>
      <c r="D25">
        <v>0.69</v>
      </c>
      <c r="E25">
        <v>37</v>
      </c>
      <c r="F25">
        <v>9</v>
      </c>
      <c r="G25" t="s">
        <v>104</v>
      </c>
      <c r="H25">
        <v>0.42</v>
      </c>
      <c r="I25">
        <v>0.42</v>
      </c>
      <c r="J25">
        <v>2.34</v>
      </c>
      <c r="K25">
        <v>1.1599999999999999</v>
      </c>
      <c r="L25">
        <v>0.32</v>
      </c>
      <c r="M25">
        <v>3</v>
      </c>
      <c r="N25" t="s">
        <v>101</v>
      </c>
      <c r="O25">
        <v>2</v>
      </c>
      <c r="P25" t="s">
        <v>34</v>
      </c>
      <c r="Q25" t="s">
        <v>53</v>
      </c>
      <c r="R25">
        <v>3.9</v>
      </c>
      <c r="S25">
        <v>5</v>
      </c>
      <c r="T25">
        <v>3.5</v>
      </c>
    </row>
    <row r="26" spans="1:20" x14ac:dyDescent="0.3">
      <c r="A26" t="s">
        <v>108</v>
      </c>
      <c r="B26">
        <v>300</v>
      </c>
      <c r="C26">
        <v>5000</v>
      </c>
      <c r="D26">
        <v>0.59</v>
      </c>
      <c r="E26">
        <v>1192</v>
      </c>
      <c r="F26">
        <v>10</v>
      </c>
      <c r="G26" t="s">
        <v>105</v>
      </c>
      <c r="H26">
        <v>3.35</v>
      </c>
      <c r="I26">
        <v>1.31</v>
      </c>
      <c r="J26">
        <v>15.92</v>
      </c>
      <c r="K26">
        <v>0.86</v>
      </c>
      <c r="L26">
        <v>1.67</v>
      </c>
      <c r="M26">
        <v>6</v>
      </c>
      <c r="N26" t="s">
        <v>101</v>
      </c>
      <c r="O26">
        <v>3</v>
      </c>
      <c r="P26" t="s">
        <v>32</v>
      </c>
      <c r="Q26" t="s">
        <v>54</v>
      </c>
      <c r="R26">
        <v>2.4</v>
      </c>
      <c r="S26">
        <v>30.6</v>
      </c>
      <c r="T26">
        <v>13.6</v>
      </c>
    </row>
    <row r="27" spans="1:20" x14ac:dyDescent="0.3">
      <c r="A27" t="s">
        <v>109</v>
      </c>
      <c r="B27">
        <v>500</v>
      </c>
      <c r="C27">
        <v>5000</v>
      </c>
      <c r="D27">
        <v>0.2</v>
      </c>
      <c r="E27">
        <v>111</v>
      </c>
      <c r="F27">
        <v>4</v>
      </c>
      <c r="G27" t="s">
        <v>106</v>
      </c>
      <c r="H27">
        <v>0.91</v>
      </c>
      <c r="I27">
        <v>1.72</v>
      </c>
      <c r="J27">
        <v>0.46</v>
      </c>
      <c r="K27">
        <v>1.1499999999999999</v>
      </c>
      <c r="L27">
        <v>0.38</v>
      </c>
      <c r="M27">
        <v>2</v>
      </c>
      <c r="N27" t="s">
        <v>101</v>
      </c>
      <c r="O27">
        <v>2</v>
      </c>
      <c r="P27" t="s">
        <v>34</v>
      </c>
      <c r="Q27" t="s">
        <v>55</v>
      </c>
      <c r="R27">
        <v>5</v>
      </c>
      <c r="S27">
        <v>4.0999999999999996</v>
      </c>
    </row>
    <row r="28" spans="1:20" x14ac:dyDescent="0.3">
      <c r="A28" t="s">
        <v>111</v>
      </c>
      <c r="B28">
        <v>500</v>
      </c>
      <c r="C28">
        <v>1000</v>
      </c>
      <c r="D28">
        <v>0.06</v>
      </c>
      <c r="E28">
        <v>3912</v>
      </c>
      <c r="F28">
        <v>3</v>
      </c>
      <c r="G28" t="s">
        <v>112</v>
      </c>
      <c r="H28" t="s">
        <v>36</v>
      </c>
      <c r="I28" t="s">
        <v>36</v>
      </c>
      <c r="J28" t="s">
        <v>36</v>
      </c>
      <c r="K28" t="s">
        <v>36</v>
      </c>
      <c r="L28" t="s">
        <v>36</v>
      </c>
      <c r="M28">
        <v>2</v>
      </c>
      <c r="N28" t="s">
        <v>113</v>
      </c>
      <c r="O28">
        <v>2</v>
      </c>
      <c r="P28" t="s">
        <v>23</v>
      </c>
      <c r="Q28" t="s">
        <v>24</v>
      </c>
      <c r="R28">
        <v>2.6</v>
      </c>
    </row>
    <row r="29" spans="1:20" x14ac:dyDescent="0.3">
      <c r="A29" t="s">
        <v>114</v>
      </c>
      <c r="B29">
        <v>1000</v>
      </c>
      <c r="C29">
        <v>5000</v>
      </c>
      <c r="D29">
        <v>0.48</v>
      </c>
      <c r="E29">
        <v>8672</v>
      </c>
      <c r="F29">
        <v>10</v>
      </c>
      <c r="G29" t="s">
        <v>115</v>
      </c>
      <c r="H29">
        <v>3.07</v>
      </c>
      <c r="I29">
        <v>0.16</v>
      </c>
      <c r="J29">
        <v>14.97</v>
      </c>
      <c r="K29">
        <v>0.89</v>
      </c>
      <c r="L29">
        <v>1.35</v>
      </c>
      <c r="M29">
        <v>6</v>
      </c>
      <c r="N29" t="s">
        <v>116</v>
      </c>
      <c r="O29">
        <v>5</v>
      </c>
      <c r="P29" t="s">
        <v>32</v>
      </c>
      <c r="Q29" t="s">
        <v>47</v>
      </c>
      <c r="R29">
        <v>1.7</v>
      </c>
      <c r="S29">
        <v>24.3</v>
      </c>
      <c r="T29">
        <v>14.4</v>
      </c>
    </row>
    <row r="30" spans="1:20" x14ac:dyDescent="0.3">
      <c r="A30" t="s">
        <v>117</v>
      </c>
      <c r="B30">
        <v>1000</v>
      </c>
      <c r="C30">
        <v>5000</v>
      </c>
      <c r="D30">
        <v>0.56999999999999995</v>
      </c>
      <c r="E30">
        <v>1069</v>
      </c>
      <c r="F30">
        <v>10</v>
      </c>
      <c r="G30" t="s">
        <v>118</v>
      </c>
      <c r="H30">
        <v>3.41</v>
      </c>
      <c r="I30">
        <v>2.59</v>
      </c>
      <c r="J30">
        <v>3.98</v>
      </c>
      <c r="K30">
        <v>0.6</v>
      </c>
      <c r="L30">
        <v>1.74</v>
      </c>
      <c r="M30">
        <v>4</v>
      </c>
      <c r="N30" t="s">
        <v>116</v>
      </c>
      <c r="O30">
        <v>5</v>
      </c>
      <c r="P30" t="s">
        <v>27</v>
      </c>
      <c r="Q30" t="s">
        <v>59</v>
      </c>
      <c r="R30">
        <v>3.8</v>
      </c>
      <c r="S30">
        <v>11.4</v>
      </c>
      <c r="T30">
        <v>9.4</v>
      </c>
    </row>
    <row r="31" spans="1:20" x14ac:dyDescent="0.3">
      <c r="A31" t="s">
        <v>119</v>
      </c>
      <c r="B31">
        <v>1000</v>
      </c>
      <c r="C31">
        <v>5000</v>
      </c>
      <c r="D31">
        <v>1</v>
      </c>
      <c r="E31">
        <v>935</v>
      </c>
      <c r="F31">
        <v>10</v>
      </c>
      <c r="G31" t="s">
        <v>115</v>
      </c>
      <c r="H31">
        <v>3.47</v>
      </c>
      <c r="I31">
        <v>4.63</v>
      </c>
      <c r="J31">
        <v>14.66</v>
      </c>
      <c r="K31">
        <v>0.74</v>
      </c>
      <c r="L31">
        <v>1.48</v>
      </c>
      <c r="M31">
        <v>6</v>
      </c>
      <c r="N31" t="s">
        <v>116</v>
      </c>
      <c r="O31">
        <v>4</v>
      </c>
      <c r="P31" t="s">
        <v>32</v>
      </c>
      <c r="Q31" t="s">
        <v>33</v>
      </c>
      <c r="R31">
        <v>7.1</v>
      </c>
      <c r="S31">
        <v>26.7</v>
      </c>
      <c r="T31">
        <v>15.1</v>
      </c>
    </row>
    <row r="32" spans="1:20" x14ac:dyDescent="0.3">
      <c r="A32" t="s">
        <v>120</v>
      </c>
      <c r="B32">
        <v>1000</v>
      </c>
      <c r="C32">
        <v>5000</v>
      </c>
      <c r="D32">
        <v>0.39</v>
      </c>
      <c r="E32">
        <v>191</v>
      </c>
      <c r="F32">
        <v>9</v>
      </c>
      <c r="G32" t="s">
        <v>118</v>
      </c>
      <c r="H32">
        <v>1.35</v>
      </c>
      <c r="I32">
        <v>1.33</v>
      </c>
      <c r="J32">
        <v>1.81</v>
      </c>
      <c r="K32">
        <v>0.77</v>
      </c>
      <c r="L32">
        <v>0.85</v>
      </c>
      <c r="M32">
        <v>2</v>
      </c>
      <c r="N32" t="s">
        <v>116</v>
      </c>
      <c r="O32">
        <v>3</v>
      </c>
      <c r="P32" t="s">
        <v>34</v>
      </c>
      <c r="Q32" t="s">
        <v>37</v>
      </c>
      <c r="R32">
        <v>4</v>
      </c>
      <c r="S32">
        <v>6</v>
      </c>
      <c r="T32">
        <v>6.7</v>
      </c>
    </row>
    <row r="33" spans="1:20" x14ac:dyDescent="0.3">
      <c r="A33" t="s">
        <v>121</v>
      </c>
      <c r="B33">
        <v>1000</v>
      </c>
      <c r="C33">
        <v>5000</v>
      </c>
      <c r="D33">
        <v>0.66</v>
      </c>
      <c r="E33">
        <v>116</v>
      </c>
      <c r="F33">
        <v>10</v>
      </c>
      <c r="G33" t="s">
        <v>122</v>
      </c>
      <c r="H33">
        <v>0.64</v>
      </c>
      <c r="I33">
        <v>0.74</v>
      </c>
      <c r="J33">
        <v>2.17</v>
      </c>
      <c r="K33">
        <v>1.02</v>
      </c>
      <c r="L33">
        <v>0.47</v>
      </c>
      <c r="M33">
        <v>3</v>
      </c>
      <c r="N33" t="s">
        <v>116</v>
      </c>
      <c r="O33">
        <v>3</v>
      </c>
      <c r="P33" t="s">
        <v>34</v>
      </c>
      <c r="Q33" t="s">
        <v>40</v>
      </c>
      <c r="R33">
        <v>4.7</v>
      </c>
      <c r="S33">
        <v>5.3</v>
      </c>
      <c r="T33">
        <v>6.6</v>
      </c>
    </row>
    <row r="34" spans="1:20" x14ac:dyDescent="0.3">
      <c r="A34" t="s">
        <v>123</v>
      </c>
      <c r="B34">
        <v>1000</v>
      </c>
      <c r="C34">
        <v>5000</v>
      </c>
      <c r="D34">
        <v>0.6</v>
      </c>
      <c r="E34">
        <v>15261</v>
      </c>
      <c r="F34">
        <v>10</v>
      </c>
      <c r="G34" t="s">
        <v>115</v>
      </c>
      <c r="H34">
        <v>3.36</v>
      </c>
      <c r="I34">
        <v>2.48</v>
      </c>
      <c r="J34">
        <v>15.69</v>
      </c>
      <c r="K34">
        <v>0.89</v>
      </c>
      <c r="L34">
        <v>1.47</v>
      </c>
      <c r="M34">
        <v>6</v>
      </c>
      <c r="N34" t="s">
        <v>116</v>
      </c>
      <c r="O34">
        <v>3</v>
      </c>
      <c r="P34" t="s">
        <v>32</v>
      </c>
      <c r="Q34" t="s">
        <v>41</v>
      </c>
      <c r="R34">
        <v>-0.2</v>
      </c>
      <c r="S34">
        <v>27</v>
      </c>
      <c r="T34">
        <v>12.6</v>
      </c>
    </row>
    <row r="35" spans="1:20" x14ac:dyDescent="0.3">
      <c r="A35" t="s">
        <v>124</v>
      </c>
      <c r="B35">
        <v>1000</v>
      </c>
      <c r="C35">
        <v>5000</v>
      </c>
      <c r="D35">
        <v>0.63</v>
      </c>
      <c r="E35">
        <v>8235</v>
      </c>
      <c r="F35">
        <v>10</v>
      </c>
      <c r="G35" t="s">
        <v>115</v>
      </c>
      <c r="H35">
        <v>3.25</v>
      </c>
      <c r="I35">
        <v>1.49</v>
      </c>
      <c r="J35">
        <v>11.27</v>
      </c>
      <c r="K35">
        <v>0.78</v>
      </c>
      <c r="L35">
        <v>1.4</v>
      </c>
      <c r="M35">
        <v>6</v>
      </c>
      <c r="N35" t="s">
        <v>116</v>
      </c>
      <c r="O35">
        <v>4</v>
      </c>
      <c r="P35" t="s">
        <v>27</v>
      </c>
      <c r="Q35" t="s">
        <v>42</v>
      </c>
      <c r="R35">
        <v>1.8</v>
      </c>
      <c r="S35">
        <v>20.100000000000001</v>
      </c>
      <c r="T35">
        <v>12.2</v>
      </c>
    </row>
    <row r="36" spans="1:20" x14ac:dyDescent="0.3">
      <c r="A36" t="s">
        <v>125</v>
      </c>
      <c r="B36">
        <v>500</v>
      </c>
      <c r="C36">
        <v>500</v>
      </c>
      <c r="D36">
        <v>0.64</v>
      </c>
      <c r="E36">
        <v>4685</v>
      </c>
      <c r="F36">
        <v>10</v>
      </c>
      <c r="G36" t="s">
        <v>126</v>
      </c>
      <c r="H36">
        <v>3.08</v>
      </c>
      <c r="I36">
        <v>2.7</v>
      </c>
      <c r="J36">
        <v>15.37</v>
      </c>
      <c r="K36">
        <v>0.87</v>
      </c>
      <c r="L36">
        <v>1.51</v>
      </c>
      <c r="M36">
        <v>6</v>
      </c>
      <c r="N36" t="s">
        <v>116</v>
      </c>
      <c r="O36">
        <v>5</v>
      </c>
      <c r="P36" t="s">
        <v>32</v>
      </c>
      <c r="Q36" t="s">
        <v>64</v>
      </c>
      <c r="R36">
        <v>1.2</v>
      </c>
      <c r="S36">
        <v>27.7</v>
      </c>
      <c r="T36">
        <v>15.5</v>
      </c>
    </row>
    <row r="37" spans="1:20" x14ac:dyDescent="0.3">
      <c r="A37" t="s">
        <v>128</v>
      </c>
      <c r="B37">
        <v>1000</v>
      </c>
      <c r="C37">
        <v>5000</v>
      </c>
      <c r="D37">
        <v>0.47</v>
      </c>
      <c r="E37">
        <v>520</v>
      </c>
      <c r="F37">
        <v>10</v>
      </c>
      <c r="G37" t="s">
        <v>127</v>
      </c>
      <c r="H37">
        <v>1.68</v>
      </c>
      <c r="I37">
        <v>3.98</v>
      </c>
      <c r="J37">
        <v>1.59</v>
      </c>
      <c r="K37">
        <v>1.95</v>
      </c>
      <c r="L37">
        <v>0.87</v>
      </c>
      <c r="M37">
        <v>2</v>
      </c>
      <c r="N37" t="s">
        <v>116</v>
      </c>
      <c r="O37">
        <v>3</v>
      </c>
      <c r="P37" t="s">
        <v>34</v>
      </c>
      <c r="Q37" t="s">
        <v>62</v>
      </c>
      <c r="R37">
        <v>4.0999999999999996</v>
      </c>
      <c r="S37">
        <v>5.9</v>
      </c>
      <c r="T37">
        <v>6.5</v>
      </c>
    </row>
    <row r="38" spans="1:20" x14ac:dyDescent="0.3">
      <c r="A38" t="s">
        <v>129</v>
      </c>
      <c r="B38">
        <v>1000</v>
      </c>
      <c r="C38">
        <v>5000</v>
      </c>
      <c r="D38">
        <v>0.47</v>
      </c>
      <c r="E38">
        <v>4831</v>
      </c>
      <c r="F38">
        <v>4</v>
      </c>
      <c r="G38" t="s">
        <v>115</v>
      </c>
      <c r="H38">
        <v>4.62</v>
      </c>
      <c r="I38">
        <v>12.23</v>
      </c>
      <c r="J38">
        <v>17.75</v>
      </c>
      <c r="K38">
        <v>0.79</v>
      </c>
      <c r="L38">
        <v>2.17</v>
      </c>
      <c r="M38">
        <v>6</v>
      </c>
      <c r="N38" t="s">
        <v>116</v>
      </c>
      <c r="O38">
        <v>5</v>
      </c>
      <c r="P38" t="s">
        <v>32</v>
      </c>
      <c r="Q38" t="s">
        <v>63</v>
      </c>
      <c r="R38">
        <v>-0.6</v>
      </c>
      <c r="S38">
        <v>51.8</v>
      </c>
    </row>
    <row r="39" spans="1:20" x14ac:dyDescent="0.3">
      <c r="A39" t="s">
        <v>130</v>
      </c>
      <c r="B39">
        <v>500</v>
      </c>
      <c r="C39">
        <v>500</v>
      </c>
      <c r="D39">
        <v>0.4</v>
      </c>
      <c r="E39">
        <v>565</v>
      </c>
      <c r="F39">
        <v>10</v>
      </c>
      <c r="G39" t="s">
        <v>127</v>
      </c>
      <c r="H39">
        <v>2.11</v>
      </c>
      <c r="I39">
        <v>1.82</v>
      </c>
      <c r="J39">
        <v>0.51</v>
      </c>
      <c r="K39">
        <v>1.04</v>
      </c>
      <c r="L39">
        <v>0.84</v>
      </c>
      <c r="M39">
        <v>2</v>
      </c>
      <c r="N39" t="s">
        <v>116</v>
      </c>
      <c r="O39">
        <v>2</v>
      </c>
      <c r="P39" t="s">
        <v>34</v>
      </c>
      <c r="Q39" t="s">
        <v>61</v>
      </c>
      <c r="R39">
        <v>5.2</v>
      </c>
      <c r="S39">
        <v>4.5</v>
      </c>
      <c r="T39">
        <v>5.3</v>
      </c>
    </row>
    <row r="40" spans="1:20" x14ac:dyDescent="0.3">
      <c r="A40" t="s">
        <v>131</v>
      </c>
      <c r="B40">
        <v>500</v>
      </c>
      <c r="C40">
        <v>500</v>
      </c>
      <c r="D40">
        <v>0.35</v>
      </c>
      <c r="E40">
        <v>1238</v>
      </c>
      <c r="F40">
        <v>5</v>
      </c>
      <c r="G40" t="s">
        <v>132</v>
      </c>
      <c r="H40">
        <v>1.08</v>
      </c>
      <c r="I40">
        <v>1.45</v>
      </c>
      <c r="J40">
        <v>0.72</v>
      </c>
      <c r="K40">
        <v>0.64</v>
      </c>
      <c r="L40">
        <v>0.82</v>
      </c>
      <c r="M40">
        <v>1</v>
      </c>
      <c r="N40" t="s">
        <v>133</v>
      </c>
      <c r="O40">
        <v>3</v>
      </c>
      <c r="P40" t="s">
        <v>27</v>
      </c>
      <c r="Q40" t="s">
        <v>28</v>
      </c>
      <c r="R40">
        <v>5.6</v>
      </c>
      <c r="S40">
        <v>4.5999999999999996</v>
      </c>
      <c r="T40">
        <v>5.4</v>
      </c>
    </row>
    <row r="41" spans="1:20" x14ac:dyDescent="0.3">
      <c r="A41" t="s">
        <v>134</v>
      </c>
      <c r="B41">
        <v>500</v>
      </c>
      <c r="C41">
        <v>500</v>
      </c>
      <c r="D41">
        <v>0.33</v>
      </c>
      <c r="E41">
        <v>2463</v>
      </c>
      <c r="F41">
        <v>10</v>
      </c>
      <c r="G41" t="s">
        <v>135</v>
      </c>
      <c r="H41">
        <v>1.59</v>
      </c>
      <c r="I41">
        <v>4.78</v>
      </c>
      <c r="J41">
        <v>1.87</v>
      </c>
      <c r="K41">
        <v>2.4</v>
      </c>
      <c r="L41">
        <v>0.84</v>
      </c>
      <c r="M41">
        <v>2</v>
      </c>
      <c r="N41" t="s">
        <v>133</v>
      </c>
      <c r="O41">
        <v>3</v>
      </c>
      <c r="P41" t="s">
        <v>34</v>
      </c>
      <c r="Q41" t="s">
        <v>35</v>
      </c>
      <c r="R41">
        <v>4</v>
      </c>
      <c r="S41">
        <v>6.4</v>
      </c>
      <c r="T41">
        <v>6.9</v>
      </c>
    </row>
    <row r="42" spans="1:20" x14ac:dyDescent="0.3">
      <c r="A42" t="s">
        <v>136</v>
      </c>
      <c r="B42">
        <v>500</v>
      </c>
      <c r="C42">
        <v>500</v>
      </c>
      <c r="D42">
        <v>0.39</v>
      </c>
      <c r="E42">
        <v>333</v>
      </c>
      <c r="F42">
        <v>10</v>
      </c>
      <c r="G42" t="s">
        <v>137</v>
      </c>
      <c r="H42">
        <v>0.98</v>
      </c>
      <c r="I42">
        <v>1.17</v>
      </c>
      <c r="J42">
        <v>2.36</v>
      </c>
      <c r="K42">
        <v>1.02</v>
      </c>
      <c r="L42">
        <v>0.62</v>
      </c>
      <c r="M42">
        <v>3</v>
      </c>
      <c r="N42" t="s">
        <v>133</v>
      </c>
      <c r="O42">
        <v>3</v>
      </c>
      <c r="P42" t="s">
        <v>34</v>
      </c>
      <c r="Q42" t="s">
        <v>53</v>
      </c>
      <c r="R42">
        <v>3.8</v>
      </c>
      <c r="S42">
        <v>6.1</v>
      </c>
      <c r="T42">
        <v>4.9000000000000004</v>
      </c>
    </row>
    <row r="43" spans="1:20" x14ac:dyDescent="0.3">
      <c r="A43" t="s">
        <v>138</v>
      </c>
      <c r="B43">
        <v>500</v>
      </c>
      <c r="C43">
        <v>500</v>
      </c>
      <c r="D43">
        <v>0.25</v>
      </c>
      <c r="E43">
        <v>2065</v>
      </c>
      <c r="F43">
        <v>5</v>
      </c>
      <c r="G43" t="s">
        <v>137</v>
      </c>
      <c r="H43">
        <v>0.59</v>
      </c>
      <c r="I43">
        <v>0.76</v>
      </c>
      <c r="J43">
        <v>2.16</v>
      </c>
      <c r="K43">
        <v>0.73</v>
      </c>
      <c r="L43">
        <v>0.45</v>
      </c>
      <c r="M43">
        <v>3</v>
      </c>
      <c r="N43" t="s">
        <v>133</v>
      </c>
      <c r="O43">
        <v>2</v>
      </c>
      <c r="P43" t="s">
        <v>34</v>
      </c>
      <c r="Q43" t="s">
        <v>37</v>
      </c>
      <c r="R43">
        <v>2.6</v>
      </c>
      <c r="S43">
        <v>5.6</v>
      </c>
    </row>
    <row r="44" spans="1:20" x14ac:dyDescent="0.3">
      <c r="A44" t="s">
        <v>139</v>
      </c>
      <c r="B44">
        <v>500</v>
      </c>
      <c r="C44">
        <v>500</v>
      </c>
      <c r="D44">
        <v>0.38</v>
      </c>
      <c r="E44">
        <v>210</v>
      </c>
      <c r="F44">
        <v>10</v>
      </c>
      <c r="G44" t="s">
        <v>140</v>
      </c>
      <c r="H44">
        <v>1.23</v>
      </c>
      <c r="I44">
        <v>2.84</v>
      </c>
      <c r="J44">
        <v>4.32</v>
      </c>
      <c r="K44">
        <v>0.26</v>
      </c>
      <c r="L44">
        <v>0.57999999999999996</v>
      </c>
      <c r="M44">
        <v>4</v>
      </c>
      <c r="N44" t="s">
        <v>133</v>
      </c>
      <c r="O44">
        <v>3</v>
      </c>
      <c r="P44" t="s">
        <v>34</v>
      </c>
      <c r="Q44" t="s">
        <v>38</v>
      </c>
      <c r="R44">
        <v>10.8</v>
      </c>
      <c r="S44">
        <v>6.6</v>
      </c>
      <c r="T44">
        <v>4.5</v>
      </c>
    </row>
    <row r="45" spans="1:20" x14ac:dyDescent="0.3">
      <c r="A45" t="s">
        <v>141</v>
      </c>
      <c r="B45">
        <v>500</v>
      </c>
      <c r="C45">
        <v>500</v>
      </c>
      <c r="D45">
        <v>0.71</v>
      </c>
      <c r="E45">
        <v>3770</v>
      </c>
      <c r="F45">
        <v>9</v>
      </c>
      <c r="G45" t="s">
        <v>142</v>
      </c>
      <c r="H45">
        <v>2.7</v>
      </c>
      <c r="I45">
        <v>-0.92</v>
      </c>
      <c r="J45">
        <v>8.6199999999999992</v>
      </c>
      <c r="K45">
        <v>0.53</v>
      </c>
      <c r="L45">
        <v>1.03</v>
      </c>
      <c r="M45">
        <v>5</v>
      </c>
      <c r="N45" t="s">
        <v>133</v>
      </c>
      <c r="O45">
        <v>3</v>
      </c>
      <c r="P45" t="s">
        <v>27</v>
      </c>
      <c r="Q45" t="s">
        <v>31</v>
      </c>
      <c r="R45">
        <v>1.7</v>
      </c>
      <c r="S45">
        <v>12.2</v>
      </c>
      <c r="T45">
        <v>8.3000000000000007</v>
      </c>
    </row>
    <row r="46" spans="1:20" x14ac:dyDescent="0.3">
      <c r="A46" t="s">
        <v>143</v>
      </c>
      <c r="B46">
        <v>500</v>
      </c>
      <c r="C46">
        <v>500</v>
      </c>
      <c r="D46">
        <v>0.78</v>
      </c>
      <c r="E46">
        <v>7358</v>
      </c>
      <c r="F46">
        <v>10</v>
      </c>
      <c r="G46" t="s">
        <v>142</v>
      </c>
      <c r="H46">
        <v>2.7</v>
      </c>
      <c r="I46">
        <v>0.51</v>
      </c>
      <c r="J46">
        <v>12.7</v>
      </c>
      <c r="K46">
        <v>0.83</v>
      </c>
      <c r="L46">
        <v>1.25</v>
      </c>
      <c r="M46">
        <v>6</v>
      </c>
      <c r="N46" t="s">
        <v>133</v>
      </c>
      <c r="O46">
        <v>3</v>
      </c>
      <c r="P46" t="s">
        <v>27</v>
      </c>
      <c r="Q46" t="s">
        <v>42</v>
      </c>
      <c r="R46">
        <v>0.6</v>
      </c>
      <c r="S46">
        <v>18.7</v>
      </c>
      <c r="T46">
        <v>10.7</v>
      </c>
    </row>
    <row r="47" spans="1:20" x14ac:dyDescent="0.3">
      <c r="A47" t="s">
        <v>144</v>
      </c>
      <c r="B47">
        <v>500</v>
      </c>
      <c r="C47">
        <v>500</v>
      </c>
      <c r="D47">
        <v>0.91</v>
      </c>
      <c r="E47">
        <v>7110</v>
      </c>
      <c r="F47">
        <v>10</v>
      </c>
      <c r="G47" t="s">
        <v>145</v>
      </c>
      <c r="H47">
        <v>2.87</v>
      </c>
      <c r="I47">
        <v>1.89</v>
      </c>
      <c r="J47">
        <v>16.600000000000001</v>
      </c>
      <c r="K47">
        <v>0.93</v>
      </c>
      <c r="L47">
        <v>1.4</v>
      </c>
      <c r="M47">
        <v>6</v>
      </c>
      <c r="N47" t="s">
        <v>133</v>
      </c>
      <c r="O47">
        <v>3</v>
      </c>
      <c r="P47" t="s">
        <v>32</v>
      </c>
      <c r="Q47" t="s">
        <v>41</v>
      </c>
      <c r="R47">
        <v>3.2</v>
      </c>
      <c r="S47">
        <v>31.6</v>
      </c>
      <c r="T47">
        <v>11.7</v>
      </c>
    </row>
    <row r="48" spans="1:20" x14ac:dyDescent="0.3">
      <c r="A48" t="s">
        <v>146</v>
      </c>
      <c r="B48">
        <v>500</v>
      </c>
      <c r="C48">
        <v>500</v>
      </c>
      <c r="D48">
        <v>0.4</v>
      </c>
      <c r="E48">
        <v>535</v>
      </c>
      <c r="F48">
        <v>7</v>
      </c>
      <c r="G48" t="s">
        <v>132</v>
      </c>
      <c r="H48">
        <v>3.55</v>
      </c>
      <c r="I48">
        <v>4.83</v>
      </c>
      <c r="J48">
        <v>6.37</v>
      </c>
      <c r="K48">
        <v>0.88</v>
      </c>
      <c r="L48">
        <v>1.75</v>
      </c>
      <c r="M48">
        <v>4</v>
      </c>
      <c r="N48" t="s">
        <v>133</v>
      </c>
      <c r="O48">
        <v>2</v>
      </c>
      <c r="P48" t="s">
        <v>27</v>
      </c>
      <c r="Q48" t="s">
        <v>43</v>
      </c>
      <c r="R48">
        <v>4</v>
      </c>
      <c r="S48">
        <v>14.6</v>
      </c>
      <c r="T48">
        <v>7.8</v>
      </c>
    </row>
    <row r="49" spans="1:20" x14ac:dyDescent="0.3">
      <c r="A49" t="s">
        <v>147</v>
      </c>
      <c r="B49">
        <v>500</v>
      </c>
      <c r="C49">
        <v>500</v>
      </c>
      <c r="D49">
        <v>0.76</v>
      </c>
      <c r="E49">
        <v>7725</v>
      </c>
      <c r="F49">
        <v>10</v>
      </c>
      <c r="G49" t="s">
        <v>142</v>
      </c>
      <c r="H49">
        <v>2.56</v>
      </c>
      <c r="I49">
        <v>-1.47</v>
      </c>
      <c r="J49">
        <v>16.670000000000002</v>
      </c>
      <c r="K49">
        <v>0.93</v>
      </c>
      <c r="L49">
        <v>1.23</v>
      </c>
      <c r="M49">
        <v>6</v>
      </c>
      <c r="N49" t="s">
        <v>133</v>
      </c>
      <c r="O49">
        <v>3</v>
      </c>
      <c r="P49" t="s">
        <v>32</v>
      </c>
      <c r="Q49" t="s">
        <v>44</v>
      </c>
      <c r="R49">
        <v>-0.1</v>
      </c>
      <c r="S49">
        <v>22.8</v>
      </c>
      <c r="T49">
        <v>12</v>
      </c>
    </row>
    <row r="50" spans="1:20" x14ac:dyDescent="0.3">
      <c r="A50" t="s">
        <v>150</v>
      </c>
      <c r="B50">
        <v>500</v>
      </c>
      <c r="C50">
        <v>500</v>
      </c>
      <c r="D50">
        <v>0.24</v>
      </c>
      <c r="E50">
        <v>271</v>
      </c>
      <c r="F50">
        <v>4</v>
      </c>
      <c r="G50" t="s">
        <v>149</v>
      </c>
      <c r="H50">
        <v>3.43</v>
      </c>
      <c r="I50">
        <v>-0.76</v>
      </c>
      <c r="J50">
        <v>16.670000000000002</v>
      </c>
      <c r="K50">
        <v>0.99</v>
      </c>
      <c r="L50">
        <v>1.3</v>
      </c>
      <c r="M50">
        <v>6</v>
      </c>
      <c r="N50" t="s">
        <v>133</v>
      </c>
      <c r="O50">
        <v>3</v>
      </c>
      <c r="P50" t="s">
        <v>23</v>
      </c>
      <c r="Q50" t="s">
        <v>56</v>
      </c>
      <c r="R50">
        <v>0.9</v>
      </c>
      <c r="S50">
        <v>25.8</v>
      </c>
    </row>
    <row r="51" spans="1:20" x14ac:dyDescent="0.3">
      <c r="A51" t="s">
        <v>151</v>
      </c>
      <c r="B51">
        <v>500</v>
      </c>
      <c r="C51">
        <v>500</v>
      </c>
      <c r="D51">
        <v>0.32</v>
      </c>
      <c r="E51">
        <v>227</v>
      </c>
      <c r="F51">
        <v>4</v>
      </c>
      <c r="G51" t="s">
        <v>149</v>
      </c>
      <c r="H51">
        <v>1.68</v>
      </c>
      <c r="I51">
        <v>-4.59</v>
      </c>
      <c r="J51">
        <v>17.93</v>
      </c>
      <c r="K51">
        <v>0.97</v>
      </c>
      <c r="L51">
        <v>0.97</v>
      </c>
      <c r="M51">
        <v>6</v>
      </c>
      <c r="N51" t="s">
        <v>133</v>
      </c>
      <c r="O51">
        <v>2</v>
      </c>
      <c r="P51" t="s">
        <v>23</v>
      </c>
      <c r="Q51" t="s">
        <v>56</v>
      </c>
      <c r="R51">
        <v>-6.3</v>
      </c>
      <c r="S51">
        <v>21.8</v>
      </c>
    </row>
    <row r="52" spans="1:20" x14ac:dyDescent="0.3">
      <c r="A52" t="s">
        <v>152</v>
      </c>
      <c r="B52">
        <v>500</v>
      </c>
      <c r="C52">
        <v>500</v>
      </c>
      <c r="D52">
        <v>0.06</v>
      </c>
      <c r="E52">
        <v>2754</v>
      </c>
      <c r="F52">
        <v>4</v>
      </c>
      <c r="G52" t="s">
        <v>132</v>
      </c>
      <c r="H52">
        <v>0.73</v>
      </c>
      <c r="I52">
        <v>0.67</v>
      </c>
      <c r="J52">
        <v>0.34</v>
      </c>
      <c r="K52">
        <v>0.47</v>
      </c>
      <c r="L52">
        <v>0.12</v>
      </c>
      <c r="M52">
        <v>1</v>
      </c>
      <c r="N52" t="s">
        <v>133</v>
      </c>
      <c r="O52">
        <v>4</v>
      </c>
      <c r="P52" t="s">
        <v>34</v>
      </c>
      <c r="Q52" t="s">
        <v>57</v>
      </c>
      <c r="R52">
        <v>5.4</v>
      </c>
      <c r="S52">
        <v>3.9</v>
      </c>
    </row>
    <row r="53" spans="1:20" x14ac:dyDescent="0.3">
      <c r="A53" t="s">
        <v>153</v>
      </c>
      <c r="B53">
        <v>500</v>
      </c>
      <c r="C53">
        <v>500</v>
      </c>
      <c r="D53">
        <v>0.51</v>
      </c>
      <c r="E53">
        <v>199</v>
      </c>
      <c r="F53">
        <v>10</v>
      </c>
      <c r="G53" t="s">
        <v>135</v>
      </c>
      <c r="H53">
        <v>2.68</v>
      </c>
      <c r="I53">
        <v>2.2599999999999998</v>
      </c>
      <c r="J53">
        <v>4.28</v>
      </c>
      <c r="K53">
        <v>0.61</v>
      </c>
      <c r="L53">
        <v>1.55</v>
      </c>
      <c r="M53">
        <v>3</v>
      </c>
      <c r="N53" t="s">
        <v>133</v>
      </c>
      <c r="O53">
        <v>2</v>
      </c>
      <c r="P53" t="s">
        <v>27</v>
      </c>
      <c r="Q53" t="s">
        <v>59</v>
      </c>
      <c r="R53">
        <v>3</v>
      </c>
      <c r="S53">
        <v>10.8</v>
      </c>
      <c r="T53">
        <v>6</v>
      </c>
    </row>
    <row r="54" spans="1:20" x14ac:dyDescent="0.3">
      <c r="A54" t="s">
        <v>154</v>
      </c>
      <c r="B54">
        <v>500</v>
      </c>
      <c r="C54">
        <v>500</v>
      </c>
      <c r="D54">
        <v>0.25</v>
      </c>
      <c r="E54">
        <v>3903</v>
      </c>
      <c r="F54">
        <v>10</v>
      </c>
      <c r="G54" t="s">
        <v>132</v>
      </c>
      <c r="H54">
        <v>1.82</v>
      </c>
      <c r="I54">
        <v>3.15</v>
      </c>
      <c r="J54">
        <v>0.81</v>
      </c>
      <c r="K54">
        <v>1.65</v>
      </c>
      <c r="L54">
        <v>1.1499999999999999</v>
      </c>
      <c r="M54">
        <v>3</v>
      </c>
      <c r="N54" t="s">
        <v>133</v>
      </c>
      <c r="O54">
        <v>2</v>
      </c>
      <c r="P54" t="s">
        <v>34</v>
      </c>
      <c r="Q54" t="s">
        <v>55</v>
      </c>
      <c r="R54">
        <v>5</v>
      </c>
      <c r="S54">
        <v>5.3</v>
      </c>
      <c r="T54">
        <v>5.9</v>
      </c>
    </row>
    <row r="55" spans="1:20" x14ac:dyDescent="0.3">
      <c r="A55" t="s">
        <v>155</v>
      </c>
      <c r="B55">
        <v>500</v>
      </c>
      <c r="C55">
        <v>500</v>
      </c>
      <c r="D55">
        <v>0.3</v>
      </c>
      <c r="E55">
        <v>2821</v>
      </c>
      <c r="F55">
        <v>10</v>
      </c>
      <c r="G55" t="s">
        <v>140</v>
      </c>
      <c r="H55">
        <v>1.75</v>
      </c>
      <c r="I55">
        <v>4.96</v>
      </c>
      <c r="J55">
        <v>1.67</v>
      </c>
      <c r="K55">
        <v>2.5099999999999998</v>
      </c>
      <c r="L55">
        <v>0.96</v>
      </c>
      <c r="M55">
        <v>2</v>
      </c>
      <c r="N55" t="s">
        <v>133</v>
      </c>
      <c r="O55">
        <v>2</v>
      </c>
      <c r="P55" t="s">
        <v>34</v>
      </c>
      <c r="Q55" t="s">
        <v>62</v>
      </c>
      <c r="R55">
        <v>4.0999999999999996</v>
      </c>
      <c r="S55">
        <v>6.1</v>
      </c>
      <c r="T55">
        <v>6.7</v>
      </c>
    </row>
    <row r="56" spans="1:20" x14ac:dyDescent="0.3">
      <c r="A56" t="s">
        <v>156</v>
      </c>
      <c r="B56">
        <v>500</v>
      </c>
      <c r="C56">
        <v>500</v>
      </c>
      <c r="D56">
        <v>0.9</v>
      </c>
      <c r="E56">
        <v>8953</v>
      </c>
      <c r="F56">
        <v>10</v>
      </c>
      <c r="G56" t="s">
        <v>148</v>
      </c>
      <c r="H56">
        <v>3.38</v>
      </c>
      <c r="I56">
        <v>4.28</v>
      </c>
      <c r="J56">
        <v>18.670000000000002</v>
      </c>
      <c r="K56">
        <v>0.86</v>
      </c>
      <c r="L56">
        <v>1.78</v>
      </c>
      <c r="M56">
        <v>6</v>
      </c>
      <c r="N56" t="s">
        <v>133</v>
      </c>
      <c r="O56">
        <v>2</v>
      </c>
      <c r="P56" t="s">
        <v>32</v>
      </c>
      <c r="Q56" t="s">
        <v>63</v>
      </c>
      <c r="R56">
        <v>0.7</v>
      </c>
      <c r="S56">
        <v>38.9</v>
      </c>
      <c r="T56">
        <v>12.5</v>
      </c>
    </row>
    <row r="57" spans="1:20" x14ac:dyDescent="0.3">
      <c r="A57" t="s">
        <v>157</v>
      </c>
      <c r="B57">
        <v>500</v>
      </c>
      <c r="C57">
        <v>5000</v>
      </c>
      <c r="D57">
        <v>0.36</v>
      </c>
      <c r="E57">
        <v>469</v>
      </c>
      <c r="F57">
        <v>10</v>
      </c>
      <c r="G57" t="s">
        <v>158</v>
      </c>
      <c r="H57">
        <v>3.83</v>
      </c>
      <c r="I57">
        <v>5.57</v>
      </c>
      <c r="J57">
        <v>11.66</v>
      </c>
      <c r="K57">
        <v>0.79</v>
      </c>
      <c r="L57">
        <v>1.72</v>
      </c>
      <c r="M57">
        <v>6</v>
      </c>
      <c r="N57" t="s">
        <v>113</v>
      </c>
      <c r="O57">
        <v>4</v>
      </c>
      <c r="P57" t="s">
        <v>27</v>
      </c>
      <c r="Q57" t="s">
        <v>42</v>
      </c>
      <c r="R57">
        <v>6.5</v>
      </c>
      <c r="S57">
        <v>24.6</v>
      </c>
      <c r="T57">
        <v>13</v>
      </c>
    </row>
    <row r="58" spans="1:20" x14ac:dyDescent="0.3">
      <c r="A58" t="s">
        <v>159</v>
      </c>
      <c r="B58">
        <v>500</v>
      </c>
      <c r="C58">
        <v>5000</v>
      </c>
      <c r="D58">
        <v>0.37</v>
      </c>
      <c r="E58">
        <v>5393</v>
      </c>
      <c r="F58">
        <v>9</v>
      </c>
      <c r="G58" t="s">
        <v>160</v>
      </c>
      <c r="H58">
        <v>1.61</v>
      </c>
      <c r="I58">
        <v>1.78</v>
      </c>
      <c r="J58">
        <v>0.72</v>
      </c>
      <c r="K58">
        <v>0.63</v>
      </c>
      <c r="L58">
        <v>1.31</v>
      </c>
      <c r="M58">
        <v>1</v>
      </c>
      <c r="N58" t="s">
        <v>113</v>
      </c>
      <c r="O58">
        <v>5</v>
      </c>
      <c r="P58" t="s">
        <v>27</v>
      </c>
      <c r="Q58" t="s">
        <v>28</v>
      </c>
      <c r="R58">
        <v>5.8</v>
      </c>
      <c r="S58">
        <v>5</v>
      </c>
      <c r="T58">
        <v>5.7</v>
      </c>
    </row>
    <row r="59" spans="1:20" x14ac:dyDescent="0.3">
      <c r="A59" t="s">
        <v>161</v>
      </c>
      <c r="B59">
        <v>500</v>
      </c>
      <c r="C59">
        <v>5000</v>
      </c>
      <c r="D59">
        <v>0.51</v>
      </c>
      <c r="E59">
        <v>8780</v>
      </c>
      <c r="F59">
        <v>10</v>
      </c>
      <c r="G59" t="s">
        <v>160</v>
      </c>
      <c r="H59">
        <v>3.31</v>
      </c>
      <c r="I59">
        <v>2.1</v>
      </c>
      <c r="J59">
        <v>9.7100000000000009</v>
      </c>
      <c r="K59">
        <v>0.67</v>
      </c>
      <c r="L59">
        <v>1.48</v>
      </c>
      <c r="M59">
        <v>6</v>
      </c>
      <c r="N59" t="s">
        <v>113</v>
      </c>
      <c r="O59">
        <v>4</v>
      </c>
      <c r="P59" t="s">
        <v>27</v>
      </c>
      <c r="Q59" t="s">
        <v>31</v>
      </c>
      <c r="R59">
        <v>2.9</v>
      </c>
      <c r="S59">
        <v>18.5</v>
      </c>
      <c r="T59">
        <v>12</v>
      </c>
    </row>
    <row r="60" spans="1:20" x14ac:dyDescent="0.3">
      <c r="A60" t="s">
        <v>162</v>
      </c>
      <c r="B60">
        <v>500</v>
      </c>
      <c r="C60">
        <v>5000</v>
      </c>
      <c r="D60">
        <v>0.26</v>
      </c>
      <c r="E60">
        <v>355</v>
      </c>
      <c r="F60">
        <v>10</v>
      </c>
      <c r="G60" t="s">
        <v>112</v>
      </c>
      <c r="H60">
        <v>0.78</v>
      </c>
      <c r="I60">
        <v>6.29</v>
      </c>
      <c r="J60">
        <v>3.68</v>
      </c>
      <c r="K60">
        <v>3.18</v>
      </c>
      <c r="L60">
        <v>0.55000000000000004</v>
      </c>
      <c r="M60">
        <v>3</v>
      </c>
      <c r="N60" t="s">
        <v>113</v>
      </c>
      <c r="O60">
        <v>2</v>
      </c>
      <c r="P60" t="s">
        <v>34</v>
      </c>
      <c r="Q60" t="s">
        <v>35</v>
      </c>
      <c r="R60">
        <v>3.5</v>
      </c>
      <c r="S60">
        <v>6.9</v>
      </c>
      <c r="T60">
        <v>7.9</v>
      </c>
    </row>
    <row r="61" spans="1:20" x14ac:dyDescent="0.3">
      <c r="A61" t="s">
        <v>163</v>
      </c>
      <c r="B61">
        <v>500</v>
      </c>
      <c r="C61">
        <v>5000</v>
      </c>
      <c r="D61">
        <v>0.7</v>
      </c>
      <c r="E61">
        <v>258</v>
      </c>
      <c r="F61">
        <v>8</v>
      </c>
      <c r="G61" t="s">
        <v>158</v>
      </c>
      <c r="H61">
        <v>3.22</v>
      </c>
      <c r="I61">
        <v>2.41</v>
      </c>
      <c r="J61">
        <v>5.29</v>
      </c>
      <c r="K61">
        <v>0.79</v>
      </c>
      <c r="L61">
        <v>1.53</v>
      </c>
      <c r="M61">
        <v>4</v>
      </c>
      <c r="N61" t="s">
        <v>113</v>
      </c>
      <c r="O61">
        <v>5</v>
      </c>
      <c r="P61" t="s">
        <v>27</v>
      </c>
      <c r="Q61" t="s">
        <v>43</v>
      </c>
      <c r="R61">
        <v>4.4000000000000004</v>
      </c>
      <c r="S61">
        <v>12.1</v>
      </c>
      <c r="T61">
        <v>9</v>
      </c>
    </row>
    <row r="62" spans="1:20" x14ac:dyDescent="0.3">
      <c r="A62" t="s">
        <v>164</v>
      </c>
      <c r="B62">
        <v>500</v>
      </c>
      <c r="C62">
        <v>5000</v>
      </c>
      <c r="D62">
        <v>1.5</v>
      </c>
      <c r="E62">
        <v>83</v>
      </c>
      <c r="F62">
        <v>9</v>
      </c>
      <c r="G62" t="s">
        <v>160</v>
      </c>
      <c r="H62">
        <v>1.64</v>
      </c>
      <c r="I62" t="s">
        <v>36</v>
      </c>
      <c r="J62">
        <v>19.12</v>
      </c>
      <c r="K62" t="s">
        <v>36</v>
      </c>
      <c r="L62">
        <v>0.93</v>
      </c>
      <c r="M62">
        <v>6</v>
      </c>
      <c r="N62" t="s">
        <v>113</v>
      </c>
      <c r="O62">
        <v>0</v>
      </c>
      <c r="P62" t="s">
        <v>23</v>
      </c>
      <c r="Q62" t="s">
        <v>48</v>
      </c>
      <c r="R62">
        <v>9.1999999999999993</v>
      </c>
      <c r="S62">
        <v>25.2</v>
      </c>
      <c r="T62">
        <v>7.6</v>
      </c>
    </row>
    <row r="63" spans="1:20" x14ac:dyDescent="0.3">
      <c r="A63" t="s">
        <v>165</v>
      </c>
      <c r="B63">
        <v>500</v>
      </c>
      <c r="C63">
        <v>5000</v>
      </c>
      <c r="D63">
        <v>0.56000000000000005</v>
      </c>
      <c r="E63">
        <v>1056</v>
      </c>
      <c r="F63">
        <v>8</v>
      </c>
      <c r="G63" t="s">
        <v>166</v>
      </c>
      <c r="H63">
        <v>3.41</v>
      </c>
      <c r="I63">
        <v>1.91</v>
      </c>
      <c r="J63">
        <v>16.02</v>
      </c>
      <c r="K63">
        <v>0.92</v>
      </c>
      <c r="L63">
        <v>1.46</v>
      </c>
      <c r="M63">
        <v>6</v>
      </c>
      <c r="N63" t="s">
        <v>113</v>
      </c>
      <c r="O63">
        <v>3</v>
      </c>
      <c r="P63" t="s">
        <v>32</v>
      </c>
      <c r="Q63" t="s">
        <v>44</v>
      </c>
      <c r="R63">
        <v>1.9</v>
      </c>
      <c r="S63">
        <v>27.5</v>
      </c>
      <c r="T63">
        <v>12.1</v>
      </c>
    </row>
    <row r="64" spans="1:20" x14ac:dyDescent="0.3">
      <c r="A64" t="s">
        <v>167</v>
      </c>
      <c r="B64">
        <v>500</v>
      </c>
      <c r="C64">
        <v>5000</v>
      </c>
      <c r="D64">
        <v>0.66</v>
      </c>
      <c r="E64">
        <v>119</v>
      </c>
      <c r="F64">
        <v>9</v>
      </c>
      <c r="G64" t="s">
        <v>112</v>
      </c>
      <c r="H64">
        <v>1.63</v>
      </c>
      <c r="I64">
        <v>1.77</v>
      </c>
      <c r="J64">
        <v>2.77</v>
      </c>
      <c r="K64">
        <v>0.61</v>
      </c>
      <c r="L64">
        <v>0.88</v>
      </c>
      <c r="M64">
        <v>3</v>
      </c>
      <c r="N64" t="s">
        <v>113</v>
      </c>
      <c r="O64">
        <v>5</v>
      </c>
      <c r="P64" t="s">
        <v>34</v>
      </c>
      <c r="Q64" t="s">
        <v>49</v>
      </c>
      <c r="R64">
        <v>4.3</v>
      </c>
      <c r="S64">
        <v>6.8</v>
      </c>
      <c r="T64">
        <v>8.1999999999999993</v>
      </c>
    </row>
    <row r="65" spans="1:20" x14ac:dyDescent="0.3">
      <c r="A65" t="s">
        <v>168</v>
      </c>
      <c r="B65">
        <v>500</v>
      </c>
      <c r="C65">
        <v>5000</v>
      </c>
      <c r="D65">
        <v>1.44</v>
      </c>
      <c r="E65">
        <v>1897</v>
      </c>
      <c r="F65">
        <v>10</v>
      </c>
      <c r="G65" t="s">
        <v>160</v>
      </c>
      <c r="H65">
        <v>0.6</v>
      </c>
      <c r="I65" t="s">
        <v>36</v>
      </c>
      <c r="J65">
        <v>25.75</v>
      </c>
      <c r="K65" t="s">
        <v>36</v>
      </c>
      <c r="L65">
        <v>0.3</v>
      </c>
      <c r="M65">
        <v>6</v>
      </c>
      <c r="N65" t="s">
        <v>113</v>
      </c>
      <c r="O65">
        <v>0</v>
      </c>
      <c r="P65" t="s">
        <v>23</v>
      </c>
      <c r="Q65" t="s">
        <v>48</v>
      </c>
      <c r="R65">
        <v>-4.0999999999999996</v>
      </c>
      <c r="S65">
        <v>9</v>
      </c>
      <c r="T65">
        <v>6.1</v>
      </c>
    </row>
    <row r="66" spans="1:20" x14ac:dyDescent="0.3">
      <c r="A66" t="s">
        <v>169</v>
      </c>
      <c r="B66">
        <v>500</v>
      </c>
      <c r="C66">
        <v>5000</v>
      </c>
      <c r="D66">
        <v>0.6</v>
      </c>
      <c r="E66">
        <v>1711</v>
      </c>
      <c r="F66">
        <v>10</v>
      </c>
      <c r="G66" t="s">
        <v>170</v>
      </c>
      <c r="H66">
        <v>3.56</v>
      </c>
      <c r="I66">
        <v>2.77</v>
      </c>
      <c r="J66">
        <v>15.87</v>
      </c>
      <c r="K66">
        <v>0.9</v>
      </c>
      <c r="L66">
        <v>1.47</v>
      </c>
      <c r="M66">
        <v>6</v>
      </c>
      <c r="N66" t="s">
        <v>113</v>
      </c>
      <c r="O66">
        <v>4</v>
      </c>
      <c r="P66" t="s">
        <v>32</v>
      </c>
      <c r="Q66" t="s">
        <v>41</v>
      </c>
      <c r="R66">
        <v>1.2</v>
      </c>
      <c r="S66">
        <v>27.8</v>
      </c>
      <c r="T66">
        <v>13.2</v>
      </c>
    </row>
    <row r="67" spans="1:20" x14ac:dyDescent="0.3">
      <c r="A67" t="s">
        <v>171</v>
      </c>
      <c r="B67">
        <v>500</v>
      </c>
      <c r="C67">
        <v>5000</v>
      </c>
      <c r="D67">
        <v>1.3</v>
      </c>
      <c r="E67">
        <v>1184</v>
      </c>
      <c r="F67">
        <v>10</v>
      </c>
      <c r="G67" t="s">
        <v>172</v>
      </c>
      <c r="H67">
        <v>3.18</v>
      </c>
      <c r="I67">
        <v>8.0500000000000007</v>
      </c>
      <c r="J67">
        <v>19.059999999999999</v>
      </c>
      <c r="K67">
        <v>0.71</v>
      </c>
      <c r="L67">
        <v>1.6</v>
      </c>
      <c r="M67">
        <v>6</v>
      </c>
      <c r="N67" t="s">
        <v>173</v>
      </c>
      <c r="O67">
        <v>3</v>
      </c>
      <c r="P67" t="s">
        <v>32</v>
      </c>
      <c r="Q67" t="s">
        <v>33</v>
      </c>
      <c r="R67">
        <v>16</v>
      </c>
      <c r="S67">
        <v>36.1</v>
      </c>
      <c r="T67">
        <v>13.3</v>
      </c>
    </row>
    <row r="68" spans="1:20" x14ac:dyDescent="0.3">
      <c r="A68" t="s">
        <v>174</v>
      </c>
      <c r="B68">
        <v>500</v>
      </c>
      <c r="C68">
        <v>5000</v>
      </c>
      <c r="D68">
        <v>0.16</v>
      </c>
      <c r="E68">
        <v>712</v>
      </c>
      <c r="F68">
        <v>9</v>
      </c>
      <c r="G68" t="s">
        <v>175</v>
      </c>
      <c r="H68">
        <v>1.06</v>
      </c>
      <c r="I68">
        <v>3.72</v>
      </c>
      <c r="J68">
        <v>1.74</v>
      </c>
      <c r="K68">
        <v>1.87</v>
      </c>
      <c r="L68">
        <v>0.7</v>
      </c>
      <c r="M68">
        <v>2</v>
      </c>
      <c r="N68" t="s">
        <v>173</v>
      </c>
      <c r="O68">
        <v>2</v>
      </c>
      <c r="P68" t="s">
        <v>34</v>
      </c>
      <c r="Q68" t="s">
        <v>35</v>
      </c>
      <c r="R68">
        <v>4.2</v>
      </c>
      <c r="S68">
        <v>6.1</v>
      </c>
      <c r="T68">
        <v>7.2</v>
      </c>
    </row>
    <row r="69" spans="1:20" x14ac:dyDescent="0.3">
      <c r="A69" t="s">
        <v>176</v>
      </c>
      <c r="B69">
        <v>500</v>
      </c>
      <c r="C69">
        <v>5000</v>
      </c>
      <c r="D69">
        <v>1.01</v>
      </c>
      <c r="E69">
        <v>6205</v>
      </c>
      <c r="F69">
        <v>10</v>
      </c>
      <c r="G69" t="s">
        <v>177</v>
      </c>
      <c r="H69">
        <v>2.72</v>
      </c>
      <c r="I69">
        <v>0.71</v>
      </c>
      <c r="J69">
        <v>16.829999999999998</v>
      </c>
      <c r="K69">
        <v>0.92</v>
      </c>
      <c r="L69">
        <v>1.28</v>
      </c>
      <c r="M69">
        <v>6</v>
      </c>
      <c r="N69" t="s">
        <v>173</v>
      </c>
      <c r="O69">
        <v>2</v>
      </c>
      <c r="P69" t="s">
        <v>32</v>
      </c>
      <c r="Q69" t="s">
        <v>47</v>
      </c>
      <c r="R69">
        <v>-1</v>
      </c>
      <c r="S69">
        <v>25.1</v>
      </c>
      <c r="T69">
        <v>9.6999999999999993</v>
      </c>
    </row>
    <row r="70" spans="1:20" x14ac:dyDescent="0.3">
      <c r="A70" t="s">
        <v>178</v>
      </c>
      <c r="B70">
        <v>500</v>
      </c>
      <c r="C70">
        <v>10000</v>
      </c>
      <c r="D70">
        <v>0.21</v>
      </c>
      <c r="E70">
        <v>748</v>
      </c>
      <c r="F70">
        <v>10</v>
      </c>
      <c r="G70" t="s">
        <v>179</v>
      </c>
      <c r="H70">
        <v>1.65</v>
      </c>
      <c r="I70">
        <v>1.68</v>
      </c>
      <c r="J70">
        <v>1.8</v>
      </c>
      <c r="K70">
        <v>0.56000000000000005</v>
      </c>
      <c r="L70">
        <v>1.02</v>
      </c>
      <c r="M70">
        <v>2</v>
      </c>
      <c r="N70" t="s">
        <v>173</v>
      </c>
      <c r="O70">
        <v>3</v>
      </c>
      <c r="P70" t="s">
        <v>34</v>
      </c>
      <c r="Q70" t="s">
        <v>37</v>
      </c>
      <c r="R70">
        <v>4.4000000000000004</v>
      </c>
      <c r="S70">
        <v>6.3</v>
      </c>
      <c r="T70">
        <v>7</v>
      </c>
    </row>
    <row r="71" spans="1:20" x14ac:dyDescent="0.3">
      <c r="A71" t="s">
        <v>180</v>
      </c>
      <c r="B71">
        <v>500</v>
      </c>
      <c r="C71">
        <v>10000</v>
      </c>
      <c r="D71">
        <v>0.56999999999999995</v>
      </c>
      <c r="E71">
        <v>246</v>
      </c>
      <c r="F71">
        <v>10</v>
      </c>
      <c r="G71" t="s">
        <v>181</v>
      </c>
      <c r="H71">
        <v>2.98</v>
      </c>
      <c r="I71">
        <v>1.26</v>
      </c>
      <c r="J71">
        <v>3.89</v>
      </c>
      <c r="K71">
        <v>0.59</v>
      </c>
      <c r="L71">
        <v>1.42</v>
      </c>
      <c r="M71">
        <v>4</v>
      </c>
      <c r="N71" t="s">
        <v>173</v>
      </c>
      <c r="O71">
        <v>3</v>
      </c>
      <c r="P71" t="s">
        <v>27</v>
      </c>
      <c r="Q71" t="s">
        <v>59</v>
      </c>
      <c r="R71">
        <v>5.0999999999999996</v>
      </c>
      <c r="S71">
        <v>9.8000000000000007</v>
      </c>
      <c r="T71">
        <v>7</v>
      </c>
    </row>
    <row r="72" spans="1:20" x14ac:dyDescent="0.3">
      <c r="A72" t="s">
        <v>182</v>
      </c>
      <c r="B72">
        <v>500</v>
      </c>
      <c r="C72">
        <v>5000</v>
      </c>
      <c r="D72">
        <v>0.46</v>
      </c>
      <c r="E72">
        <v>1103</v>
      </c>
      <c r="F72">
        <v>10</v>
      </c>
      <c r="G72" t="s">
        <v>181</v>
      </c>
      <c r="H72">
        <v>1.87</v>
      </c>
      <c r="I72">
        <v>8.57</v>
      </c>
      <c r="J72">
        <v>10.19</v>
      </c>
      <c r="K72">
        <v>0.3</v>
      </c>
      <c r="L72">
        <v>1.39</v>
      </c>
      <c r="M72">
        <v>4</v>
      </c>
      <c r="N72" t="s">
        <v>173</v>
      </c>
      <c r="O72">
        <v>3</v>
      </c>
      <c r="P72" t="s">
        <v>23</v>
      </c>
      <c r="Q72" t="s">
        <v>24</v>
      </c>
      <c r="R72">
        <v>5.9</v>
      </c>
      <c r="S72">
        <v>18.2</v>
      </c>
      <c r="T72">
        <v>9.1999999999999993</v>
      </c>
    </row>
    <row r="73" spans="1:20" x14ac:dyDescent="0.3">
      <c r="A73" t="s">
        <v>183</v>
      </c>
      <c r="B73">
        <v>500</v>
      </c>
      <c r="C73">
        <v>5000</v>
      </c>
      <c r="D73">
        <v>1.37</v>
      </c>
      <c r="E73">
        <v>2556</v>
      </c>
      <c r="F73">
        <v>10</v>
      </c>
      <c r="G73" t="s">
        <v>184</v>
      </c>
      <c r="H73">
        <v>3.41</v>
      </c>
      <c r="I73">
        <v>2.99</v>
      </c>
      <c r="J73">
        <v>17.489999999999998</v>
      </c>
      <c r="K73">
        <v>0.96</v>
      </c>
      <c r="L73">
        <v>1.43</v>
      </c>
      <c r="M73">
        <v>6</v>
      </c>
      <c r="N73" t="s">
        <v>173</v>
      </c>
      <c r="O73">
        <v>2</v>
      </c>
      <c r="P73" t="s">
        <v>32</v>
      </c>
      <c r="Q73" t="s">
        <v>41</v>
      </c>
      <c r="R73">
        <v>-0.9</v>
      </c>
      <c r="S73">
        <v>27.7</v>
      </c>
      <c r="T73">
        <v>9.1999999999999993</v>
      </c>
    </row>
    <row r="74" spans="1:20" x14ac:dyDescent="0.3">
      <c r="A74" t="s">
        <v>185</v>
      </c>
      <c r="B74">
        <v>500</v>
      </c>
      <c r="C74">
        <v>5000</v>
      </c>
      <c r="D74">
        <v>1.2</v>
      </c>
      <c r="E74">
        <v>1347</v>
      </c>
      <c r="F74">
        <v>10</v>
      </c>
      <c r="G74" t="s">
        <v>181</v>
      </c>
      <c r="H74">
        <v>3.24</v>
      </c>
      <c r="I74">
        <v>3.49</v>
      </c>
      <c r="J74">
        <v>12.1</v>
      </c>
      <c r="K74">
        <v>0.8</v>
      </c>
      <c r="L74">
        <v>1.51</v>
      </c>
      <c r="M74">
        <v>6</v>
      </c>
      <c r="N74" t="s">
        <v>173</v>
      </c>
      <c r="O74">
        <v>3</v>
      </c>
      <c r="P74" t="s">
        <v>27</v>
      </c>
      <c r="Q74" t="s">
        <v>42</v>
      </c>
      <c r="R74">
        <v>5.3</v>
      </c>
      <c r="S74">
        <v>22.5</v>
      </c>
      <c r="T74">
        <v>11</v>
      </c>
    </row>
    <row r="75" spans="1:20" x14ac:dyDescent="0.3">
      <c r="A75" t="s">
        <v>186</v>
      </c>
      <c r="B75">
        <v>500</v>
      </c>
      <c r="C75">
        <v>5000</v>
      </c>
      <c r="D75">
        <v>0.71</v>
      </c>
      <c r="E75">
        <v>153</v>
      </c>
      <c r="F75">
        <v>5</v>
      </c>
      <c r="G75" t="s">
        <v>181</v>
      </c>
      <c r="H75">
        <v>3.01</v>
      </c>
      <c r="I75">
        <v>3.39</v>
      </c>
      <c r="J75">
        <v>6.61</v>
      </c>
      <c r="K75">
        <v>0.94</v>
      </c>
      <c r="L75">
        <v>1.53</v>
      </c>
      <c r="M75">
        <v>3</v>
      </c>
      <c r="N75" t="s">
        <v>173</v>
      </c>
      <c r="O75">
        <v>3</v>
      </c>
      <c r="P75" t="s">
        <v>27</v>
      </c>
      <c r="Q75" t="s">
        <v>43</v>
      </c>
      <c r="R75">
        <v>4.8</v>
      </c>
      <c r="S75">
        <v>14</v>
      </c>
    </row>
    <row r="76" spans="1:20" x14ac:dyDescent="0.3">
      <c r="A76" t="s">
        <v>187</v>
      </c>
      <c r="B76">
        <v>500</v>
      </c>
      <c r="C76">
        <v>5000</v>
      </c>
      <c r="D76">
        <v>0.72</v>
      </c>
      <c r="E76">
        <v>2880</v>
      </c>
      <c r="F76">
        <v>10</v>
      </c>
      <c r="G76" t="s">
        <v>188</v>
      </c>
      <c r="H76">
        <v>0.95</v>
      </c>
      <c r="I76" t="s">
        <v>36</v>
      </c>
      <c r="J76">
        <v>23.08</v>
      </c>
      <c r="K76" t="s">
        <v>36</v>
      </c>
      <c r="L76">
        <v>0.5</v>
      </c>
      <c r="M76">
        <v>6</v>
      </c>
      <c r="N76" t="s">
        <v>173</v>
      </c>
      <c r="O76">
        <v>0</v>
      </c>
      <c r="P76" t="s">
        <v>23</v>
      </c>
      <c r="Q76" t="s">
        <v>48</v>
      </c>
      <c r="R76">
        <v>-12.1</v>
      </c>
      <c r="S76">
        <v>17.399999999999999</v>
      </c>
      <c r="T76">
        <v>11.6</v>
      </c>
    </row>
    <row r="77" spans="1:20" x14ac:dyDescent="0.3">
      <c r="A77" t="s">
        <v>189</v>
      </c>
      <c r="B77">
        <v>500</v>
      </c>
      <c r="C77">
        <v>5000</v>
      </c>
      <c r="D77">
        <v>1.1000000000000001</v>
      </c>
      <c r="E77">
        <v>9989</v>
      </c>
      <c r="F77">
        <v>10</v>
      </c>
      <c r="G77" t="s">
        <v>177</v>
      </c>
      <c r="H77">
        <v>3.27</v>
      </c>
      <c r="I77">
        <v>4.83</v>
      </c>
      <c r="J77">
        <v>16.63</v>
      </c>
      <c r="K77">
        <v>0.93</v>
      </c>
      <c r="L77">
        <v>1.6</v>
      </c>
      <c r="M77">
        <v>6</v>
      </c>
      <c r="N77" t="s">
        <v>173</v>
      </c>
      <c r="O77">
        <v>4</v>
      </c>
      <c r="P77" t="s">
        <v>32</v>
      </c>
      <c r="Q77" t="s">
        <v>44</v>
      </c>
      <c r="R77">
        <v>3.8</v>
      </c>
      <c r="S77">
        <v>31.1</v>
      </c>
      <c r="T77">
        <v>12</v>
      </c>
    </row>
    <row r="78" spans="1:20" x14ac:dyDescent="0.3">
      <c r="A78" t="s">
        <v>190</v>
      </c>
      <c r="B78">
        <v>500</v>
      </c>
      <c r="C78">
        <v>1000</v>
      </c>
      <c r="D78">
        <v>0.21</v>
      </c>
      <c r="E78">
        <v>311</v>
      </c>
      <c r="F78">
        <v>10</v>
      </c>
      <c r="G78" t="s">
        <v>191</v>
      </c>
      <c r="H78">
        <v>2.6</v>
      </c>
      <c r="I78">
        <v>2.33</v>
      </c>
      <c r="J78">
        <v>0.84</v>
      </c>
      <c r="K78">
        <v>0.75</v>
      </c>
      <c r="L78">
        <v>1.58</v>
      </c>
      <c r="M78">
        <v>2</v>
      </c>
      <c r="N78" t="s">
        <v>173</v>
      </c>
      <c r="O78">
        <v>4</v>
      </c>
      <c r="P78" t="s">
        <v>34</v>
      </c>
      <c r="Q78" t="s">
        <v>45</v>
      </c>
      <c r="R78">
        <v>5.8</v>
      </c>
      <c r="S78">
        <v>5.6</v>
      </c>
      <c r="T78">
        <v>6.2</v>
      </c>
    </row>
    <row r="79" spans="1:20" x14ac:dyDescent="0.3">
      <c r="A79" t="s">
        <v>192</v>
      </c>
      <c r="B79">
        <v>500</v>
      </c>
      <c r="C79">
        <v>5000</v>
      </c>
      <c r="D79">
        <v>1.1599999999999999</v>
      </c>
      <c r="E79">
        <v>8022</v>
      </c>
      <c r="F79">
        <v>10</v>
      </c>
      <c r="G79" t="s">
        <v>172</v>
      </c>
      <c r="H79">
        <v>3.17</v>
      </c>
      <c r="I79">
        <v>3.6</v>
      </c>
      <c r="J79">
        <v>18.62</v>
      </c>
      <c r="K79">
        <v>0.98</v>
      </c>
      <c r="L79">
        <v>1.43</v>
      </c>
      <c r="M79">
        <v>6</v>
      </c>
      <c r="N79" t="s">
        <v>173</v>
      </c>
      <c r="O79">
        <v>4</v>
      </c>
      <c r="P79" t="s">
        <v>32</v>
      </c>
      <c r="Q79" t="s">
        <v>46</v>
      </c>
      <c r="R79">
        <v>5.0999999999999996</v>
      </c>
      <c r="S79">
        <v>30.9</v>
      </c>
      <c r="T79">
        <v>12.9</v>
      </c>
    </row>
    <row r="80" spans="1:20" x14ac:dyDescent="0.3">
      <c r="A80" t="s">
        <v>193</v>
      </c>
      <c r="B80">
        <v>500</v>
      </c>
      <c r="C80">
        <v>10000</v>
      </c>
      <c r="D80">
        <v>0.56999999999999995</v>
      </c>
      <c r="E80">
        <v>121</v>
      </c>
      <c r="F80">
        <v>10</v>
      </c>
      <c r="G80" t="s">
        <v>194</v>
      </c>
      <c r="H80">
        <v>0.04</v>
      </c>
      <c r="I80">
        <v>-0.49</v>
      </c>
      <c r="J80">
        <v>2.35</v>
      </c>
      <c r="K80">
        <v>0.52</v>
      </c>
      <c r="L80">
        <v>0.04</v>
      </c>
      <c r="M80">
        <v>3</v>
      </c>
      <c r="N80" t="s">
        <v>173</v>
      </c>
      <c r="O80">
        <v>2</v>
      </c>
      <c r="P80" t="s">
        <v>34</v>
      </c>
      <c r="Q80" t="s">
        <v>49</v>
      </c>
      <c r="R80">
        <v>3.5</v>
      </c>
      <c r="S80">
        <v>4.0999999999999996</v>
      </c>
      <c r="T80">
        <v>6.3</v>
      </c>
    </row>
    <row r="81" spans="1:20" x14ac:dyDescent="0.3">
      <c r="A81" t="s">
        <v>202</v>
      </c>
      <c r="B81">
        <v>100</v>
      </c>
      <c r="C81">
        <v>100</v>
      </c>
      <c r="D81">
        <v>0.26</v>
      </c>
      <c r="E81">
        <v>14785</v>
      </c>
      <c r="F81">
        <v>10</v>
      </c>
      <c r="G81" t="s">
        <v>200</v>
      </c>
      <c r="H81">
        <v>3.33</v>
      </c>
      <c r="I81">
        <v>3.39</v>
      </c>
      <c r="J81">
        <v>1.24</v>
      </c>
      <c r="K81">
        <v>0.9</v>
      </c>
      <c r="L81">
        <v>1.76</v>
      </c>
      <c r="M81">
        <v>3</v>
      </c>
      <c r="N81" t="s">
        <v>195</v>
      </c>
      <c r="O81">
        <v>4</v>
      </c>
      <c r="P81" t="s">
        <v>34</v>
      </c>
      <c r="Q81" t="s">
        <v>45</v>
      </c>
      <c r="R81">
        <v>5.6</v>
      </c>
      <c r="S81">
        <v>6.5</v>
      </c>
      <c r="T81">
        <v>6.9</v>
      </c>
    </row>
    <row r="82" spans="1:20" x14ac:dyDescent="0.3">
      <c r="A82" t="s">
        <v>203</v>
      </c>
      <c r="B82">
        <v>100</v>
      </c>
      <c r="C82">
        <v>100</v>
      </c>
      <c r="D82">
        <v>0.54</v>
      </c>
      <c r="E82">
        <v>3609</v>
      </c>
      <c r="F82">
        <v>10</v>
      </c>
      <c r="G82" t="s">
        <v>201</v>
      </c>
      <c r="H82">
        <v>3.93</v>
      </c>
      <c r="I82">
        <v>7.78</v>
      </c>
      <c r="J82">
        <v>17.190000000000001</v>
      </c>
      <c r="K82">
        <v>0.92</v>
      </c>
      <c r="L82">
        <v>1.71</v>
      </c>
      <c r="M82">
        <v>6</v>
      </c>
      <c r="N82" t="s">
        <v>195</v>
      </c>
      <c r="O82">
        <v>3</v>
      </c>
      <c r="P82" t="s">
        <v>32</v>
      </c>
      <c r="Q82" t="s">
        <v>46</v>
      </c>
      <c r="R82">
        <v>16</v>
      </c>
      <c r="S82">
        <v>35.799999999999997</v>
      </c>
      <c r="T82">
        <v>11.9</v>
      </c>
    </row>
    <row r="83" spans="1:20" x14ac:dyDescent="0.3">
      <c r="A83" t="s">
        <v>204</v>
      </c>
      <c r="B83">
        <v>100</v>
      </c>
      <c r="C83">
        <v>100</v>
      </c>
      <c r="D83">
        <v>0.46</v>
      </c>
      <c r="E83">
        <v>1739</v>
      </c>
      <c r="F83">
        <v>10</v>
      </c>
      <c r="G83" t="s">
        <v>197</v>
      </c>
      <c r="H83">
        <v>0.43</v>
      </c>
      <c r="I83">
        <v>0.23</v>
      </c>
      <c r="J83">
        <v>2.78</v>
      </c>
      <c r="K83">
        <v>0.64</v>
      </c>
      <c r="L83">
        <v>0.34</v>
      </c>
      <c r="M83">
        <v>3</v>
      </c>
      <c r="N83" t="s">
        <v>195</v>
      </c>
      <c r="O83">
        <v>2</v>
      </c>
      <c r="P83" t="s">
        <v>34</v>
      </c>
      <c r="Q83" t="s">
        <v>49</v>
      </c>
      <c r="R83">
        <v>3.6</v>
      </c>
      <c r="S83">
        <v>4.9000000000000004</v>
      </c>
      <c r="T83">
        <v>6.4</v>
      </c>
    </row>
    <row r="84" spans="1:20" x14ac:dyDescent="0.3">
      <c r="A84" t="s">
        <v>205</v>
      </c>
      <c r="B84">
        <v>100</v>
      </c>
      <c r="C84">
        <v>100</v>
      </c>
      <c r="D84">
        <v>0.18</v>
      </c>
      <c r="E84">
        <v>1402</v>
      </c>
      <c r="F84">
        <v>10</v>
      </c>
      <c r="G84" t="s">
        <v>206</v>
      </c>
      <c r="H84">
        <v>1.03</v>
      </c>
      <c r="I84">
        <v>-0.5</v>
      </c>
      <c r="J84">
        <v>14.19</v>
      </c>
      <c r="K84">
        <v>1.01</v>
      </c>
      <c r="L84">
        <v>0.47</v>
      </c>
      <c r="M84">
        <v>5</v>
      </c>
      <c r="N84" t="s">
        <v>195</v>
      </c>
      <c r="O84">
        <v>5</v>
      </c>
      <c r="P84" t="s">
        <v>23</v>
      </c>
      <c r="Q84" t="s">
        <v>24</v>
      </c>
      <c r="R84">
        <v>14.2</v>
      </c>
      <c r="S84">
        <v>12.3</v>
      </c>
      <c r="T84">
        <v>13.4</v>
      </c>
    </row>
    <row r="85" spans="1:20" x14ac:dyDescent="0.3">
      <c r="A85" t="s">
        <v>207</v>
      </c>
      <c r="B85">
        <v>100</v>
      </c>
      <c r="C85">
        <v>100</v>
      </c>
      <c r="D85">
        <v>1.28</v>
      </c>
      <c r="E85">
        <v>1081</v>
      </c>
      <c r="F85">
        <v>5</v>
      </c>
      <c r="G85" t="s">
        <v>208</v>
      </c>
      <c r="H85">
        <v>2.5</v>
      </c>
      <c r="I85">
        <v>0.23</v>
      </c>
      <c r="J85">
        <v>19.34</v>
      </c>
      <c r="K85">
        <v>1</v>
      </c>
      <c r="L85">
        <v>1.23</v>
      </c>
      <c r="M85">
        <v>6</v>
      </c>
      <c r="N85" t="s">
        <v>195</v>
      </c>
      <c r="O85">
        <v>0</v>
      </c>
      <c r="P85" t="s">
        <v>32</v>
      </c>
      <c r="Q85" t="s">
        <v>33</v>
      </c>
      <c r="R85">
        <v>9.8000000000000007</v>
      </c>
      <c r="S85">
        <v>27.1</v>
      </c>
      <c r="T85">
        <v>7.9</v>
      </c>
    </row>
    <row r="86" spans="1:20" x14ac:dyDescent="0.3">
      <c r="A86" t="s">
        <v>209</v>
      </c>
      <c r="B86">
        <v>100</v>
      </c>
      <c r="C86">
        <v>100</v>
      </c>
      <c r="D86">
        <v>1.33</v>
      </c>
      <c r="E86">
        <v>2695</v>
      </c>
      <c r="F86">
        <v>10</v>
      </c>
      <c r="G86" t="s">
        <v>200</v>
      </c>
      <c r="H86">
        <v>3.46</v>
      </c>
      <c r="I86">
        <v>3.73</v>
      </c>
      <c r="J86">
        <v>4.97</v>
      </c>
      <c r="K86">
        <v>0.69</v>
      </c>
      <c r="L86">
        <v>1.74</v>
      </c>
      <c r="M86">
        <v>4</v>
      </c>
      <c r="N86" t="s">
        <v>195</v>
      </c>
      <c r="O86">
        <v>3</v>
      </c>
      <c r="P86" t="s">
        <v>27</v>
      </c>
      <c r="Q86" t="s">
        <v>59</v>
      </c>
      <c r="R86">
        <v>6</v>
      </c>
      <c r="S86">
        <v>13.3</v>
      </c>
      <c r="T86">
        <v>8.4</v>
      </c>
    </row>
    <row r="87" spans="1:20" x14ac:dyDescent="0.3">
      <c r="A87" t="s">
        <v>210</v>
      </c>
      <c r="B87">
        <v>100</v>
      </c>
      <c r="C87">
        <v>100</v>
      </c>
      <c r="D87">
        <v>1.0900000000000001</v>
      </c>
      <c r="E87">
        <v>18729</v>
      </c>
      <c r="F87">
        <v>10</v>
      </c>
      <c r="G87" t="s">
        <v>198</v>
      </c>
      <c r="H87">
        <v>3.42</v>
      </c>
      <c r="I87">
        <v>4.8600000000000003</v>
      </c>
      <c r="J87">
        <v>13.03</v>
      </c>
      <c r="K87">
        <v>0.87</v>
      </c>
      <c r="L87">
        <v>1.6</v>
      </c>
      <c r="M87">
        <v>6</v>
      </c>
      <c r="N87" t="s">
        <v>195</v>
      </c>
      <c r="O87">
        <v>3</v>
      </c>
      <c r="P87" t="s">
        <v>27</v>
      </c>
      <c r="Q87" t="s">
        <v>42</v>
      </c>
      <c r="R87">
        <v>7.7</v>
      </c>
      <c r="S87">
        <v>25.6</v>
      </c>
      <c r="T87">
        <v>11.3</v>
      </c>
    </row>
    <row r="88" spans="1:20" x14ac:dyDescent="0.3">
      <c r="A88" t="s">
        <v>211</v>
      </c>
      <c r="B88">
        <v>100</v>
      </c>
      <c r="C88">
        <v>100</v>
      </c>
      <c r="D88">
        <v>0.51</v>
      </c>
      <c r="E88">
        <v>528</v>
      </c>
      <c r="F88">
        <v>10</v>
      </c>
      <c r="G88" t="s">
        <v>200</v>
      </c>
      <c r="H88">
        <v>0.43</v>
      </c>
      <c r="I88">
        <v>0.51</v>
      </c>
      <c r="J88">
        <v>2.5299999999999998</v>
      </c>
      <c r="K88">
        <v>1.28</v>
      </c>
      <c r="L88">
        <v>0.34</v>
      </c>
      <c r="M88">
        <v>3</v>
      </c>
      <c r="N88" t="s">
        <v>195</v>
      </c>
      <c r="O88">
        <v>3</v>
      </c>
      <c r="P88" t="s">
        <v>34</v>
      </c>
      <c r="Q88" t="s">
        <v>50</v>
      </c>
      <c r="R88">
        <v>3.8</v>
      </c>
      <c r="S88">
        <v>5.2</v>
      </c>
      <c r="T88">
        <v>6.1</v>
      </c>
    </row>
    <row r="89" spans="1:20" x14ac:dyDescent="0.3">
      <c r="A89" t="s">
        <v>212</v>
      </c>
      <c r="B89">
        <v>100</v>
      </c>
      <c r="C89">
        <v>100</v>
      </c>
      <c r="D89">
        <v>0.2</v>
      </c>
      <c r="E89">
        <v>4210</v>
      </c>
      <c r="F89">
        <v>10</v>
      </c>
      <c r="G89" t="s">
        <v>206</v>
      </c>
      <c r="H89">
        <v>3.48</v>
      </c>
      <c r="I89">
        <v>-0.64</v>
      </c>
      <c r="J89">
        <v>16.760000000000002</v>
      </c>
      <c r="K89">
        <v>1</v>
      </c>
      <c r="L89">
        <v>1.31</v>
      </c>
      <c r="M89">
        <v>6</v>
      </c>
      <c r="N89" t="s">
        <v>195</v>
      </c>
      <c r="O89">
        <v>4</v>
      </c>
      <c r="P89" t="s">
        <v>23</v>
      </c>
      <c r="Q89" t="s">
        <v>56</v>
      </c>
      <c r="R89">
        <v>2.4</v>
      </c>
      <c r="S89">
        <v>25.8</v>
      </c>
      <c r="T89">
        <v>12.8</v>
      </c>
    </row>
    <row r="90" spans="1:20" x14ac:dyDescent="0.3">
      <c r="A90" t="s">
        <v>212</v>
      </c>
      <c r="B90">
        <v>100</v>
      </c>
      <c r="C90">
        <v>100</v>
      </c>
      <c r="D90">
        <v>0.2</v>
      </c>
      <c r="E90">
        <v>7457</v>
      </c>
      <c r="F90">
        <v>10</v>
      </c>
      <c r="G90" t="s">
        <v>206</v>
      </c>
      <c r="H90">
        <v>3.24</v>
      </c>
      <c r="I90">
        <v>-1.01</v>
      </c>
      <c r="J90">
        <v>17.02</v>
      </c>
      <c r="K90">
        <v>1.01</v>
      </c>
      <c r="L90">
        <v>1.28</v>
      </c>
      <c r="M90">
        <v>6</v>
      </c>
      <c r="N90" t="s">
        <v>195</v>
      </c>
      <c r="O90">
        <v>3</v>
      </c>
      <c r="P90" t="s">
        <v>23</v>
      </c>
      <c r="Q90" t="s">
        <v>56</v>
      </c>
      <c r="R90">
        <v>0.9</v>
      </c>
      <c r="S90">
        <v>26</v>
      </c>
      <c r="T90">
        <v>12</v>
      </c>
    </row>
    <row r="91" spans="1:20" x14ac:dyDescent="0.3">
      <c r="A91" t="s">
        <v>213</v>
      </c>
      <c r="B91">
        <v>100</v>
      </c>
      <c r="C91">
        <v>100</v>
      </c>
      <c r="D91">
        <v>1.75</v>
      </c>
      <c r="E91">
        <v>593</v>
      </c>
      <c r="F91">
        <v>10</v>
      </c>
      <c r="G91" t="s">
        <v>208</v>
      </c>
      <c r="H91">
        <v>3.12</v>
      </c>
      <c r="I91">
        <v>2.65</v>
      </c>
      <c r="J91">
        <v>23.69</v>
      </c>
      <c r="K91">
        <v>0.88</v>
      </c>
      <c r="L91">
        <v>1.3</v>
      </c>
      <c r="M91">
        <v>6</v>
      </c>
      <c r="N91" t="s">
        <v>195</v>
      </c>
      <c r="O91">
        <v>1</v>
      </c>
      <c r="P91" t="s">
        <v>32</v>
      </c>
      <c r="Q91" t="s">
        <v>33</v>
      </c>
      <c r="R91">
        <v>16.5</v>
      </c>
      <c r="S91">
        <v>34.299999999999997</v>
      </c>
      <c r="T91">
        <v>5.3</v>
      </c>
    </row>
    <row r="92" spans="1:20" x14ac:dyDescent="0.3">
      <c r="A92" t="s">
        <v>214</v>
      </c>
      <c r="B92">
        <v>100</v>
      </c>
      <c r="C92">
        <v>100</v>
      </c>
      <c r="D92">
        <v>1.03</v>
      </c>
      <c r="E92">
        <v>7897</v>
      </c>
      <c r="F92">
        <v>10</v>
      </c>
      <c r="G92" t="s">
        <v>196</v>
      </c>
      <c r="H92">
        <v>3.56</v>
      </c>
      <c r="I92">
        <v>4.97</v>
      </c>
      <c r="J92">
        <v>17.78</v>
      </c>
      <c r="K92">
        <v>0.98</v>
      </c>
      <c r="L92">
        <v>1.55</v>
      </c>
      <c r="M92">
        <v>6</v>
      </c>
      <c r="N92" t="s">
        <v>195</v>
      </c>
      <c r="O92">
        <v>3</v>
      </c>
      <c r="P92" t="s">
        <v>32</v>
      </c>
      <c r="Q92" t="s">
        <v>41</v>
      </c>
      <c r="R92">
        <v>6.3</v>
      </c>
      <c r="S92">
        <v>33.299999999999997</v>
      </c>
      <c r="T92">
        <v>12.8</v>
      </c>
    </row>
    <row r="93" spans="1:20" x14ac:dyDescent="0.3">
      <c r="A93" t="s">
        <v>215</v>
      </c>
      <c r="B93">
        <v>300</v>
      </c>
      <c r="C93">
        <v>5000</v>
      </c>
      <c r="D93">
        <v>0.2</v>
      </c>
      <c r="E93">
        <v>49008</v>
      </c>
      <c r="F93">
        <v>10</v>
      </c>
      <c r="G93" t="s">
        <v>199</v>
      </c>
      <c r="H93">
        <v>3.68</v>
      </c>
      <c r="I93">
        <v>1.34</v>
      </c>
      <c r="J93">
        <v>0.38</v>
      </c>
      <c r="K93">
        <v>0.78</v>
      </c>
      <c r="L93">
        <v>0.79</v>
      </c>
      <c r="M93">
        <v>2</v>
      </c>
      <c r="N93" t="s">
        <v>195</v>
      </c>
      <c r="O93">
        <v>2</v>
      </c>
      <c r="P93" t="s">
        <v>34</v>
      </c>
      <c r="Q93" t="s">
        <v>51</v>
      </c>
      <c r="R93">
        <v>5.6</v>
      </c>
      <c r="S93">
        <v>4.3</v>
      </c>
      <c r="T93">
        <v>5.3</v>
      </c>
    </row>
    <row r="94" spans="1:20" x14ac:dyDescent="0.3">
      <c r="A94" t="s">
        <v>216</v>
      </c>
      <c r="B94">
        <v>100</v>
      </c>
      <c r="C94">
        <v>100</v>
      </c>
      <c r="D94">
        <v>0.43</v>
      </c>
      <c r="E94">
        <v>14779</v>
      </c>
      <c r="F94">
        <v>10</v>
      </c>
      <c r="G94" t="s">
        <v>199</v>
      </c>
      <c r="H94">
        <v>3.31</v>
      </c>
      <c r="I94">
        <v>2.82</v>
      </c>
      <c r="J94">
        <v>1.1100000000000001</v>
      </c>
      <c r="K94">
        <v>0.67</v>
      </c>
      <c r="L94">
        <v>1.73</v>
      </c>
      <c r="M94">
        <v>2</v>
      </c>
      <c r="N94" t="s">
        <v>195</v>
      </c>
      <c r="O94">
        <v>4</v>
      </c>
      <c r="P94" t="s">
        <v>34</v>
      </c>
      <c r="Q94" t="s">
        <v>52</v>
      </c>
      <c r="R94">
        <v>5.4</v>
      </c>
      <c r="S94">
        <v>6.2</v>
      </c>
      <c r="T94">
        <v>6.7</v>
      </c>
    </row>
    <row r="95" spans="1:20" x14ac:dyDescent="0.3">
      <c r="A95" t="s">
        <v>217</v>
      </c>
      <c r="B95">
        <v>100</v>
      </c>
      <c r="C95">
        <v>100</v>
      </c>
      <c r="D95">
        <v>0.57999999999999996</v>
      </c>
      <c r="E95">
        <v>3538</v>
      </c>
      <c r="F95">
        <v>10</v>
      </c>
      <c r="G95" t="s">
        <v>200</v>
      </c>
      <c r="H95">
        <v>1.34</v>
      </c>
      <c r="I95">
        <v>2.14</v>
      </c>
      <c r="J95">
        <v>2.33</v>
      </c>
      <c r="K95">
        <v>0.78</v>
      </c>
      <c r="L95">
        <v>1.01</v>
      </c>
      <c r="M95">
        <v>4</v>
      </c>
      <c r="N95" t="s">
        <v>195</v>
      </c>
      <c r="O95">
        <v>3</v>
      </c>
      <c r="P95" t="s">
        <v>34</v>
      </c>
      <c r="Q95" t="s">
        <v>53</v>
      </c>
      <c r="R95">
        <v>4.0999999999999996</v>
      </c>
      <c r="S95">
        <v>6.9</v>
      </c>
      <c r="T95">
        <v>7.4</v>
      </c>
    </row>
    <row r="96" spans="1:20" x14ac:dyDescent="0.3">
      <c r="A96" t="s">
        <v>218</v>
      </c>
      <c r="B96">
        <v>100</v>
      </c>
      <c r="C96">
        <v>100</v>
      </c>
      <c r="D96">
        <v>0.95</v>
      </c>
      <c r="E96">
        <v>35009</v>
      </c>
      <c r="F96">
        <v>10</v>
      </c>
      <c r="G96" t="s">
        <v>198</v>
      </c>
      <c r="H96">
        <v>3.64</v>
      </c>
      <c r="I96">
        <v>2.4500000000000002</v>
      </c>
      <c r="J96">
        <v>16.86</v>
      </c>
      <c r="K96">
        <v>0.93</v>
      </c>
      <c r="L96">
        <v>1.77</v>
      </c>
      <c r="M96">
        <v>6</v>
      </c>
      <c r="N96" t="s">
        <v>195</v>
      </c>
      <c r="O96">
        <v>3</v>
      </c>
      <c r="P96" t="s">
        <v>32</v>
      </c>
      <c r="Q96" t="s">
        <v>54</v>
      </c>
      <c r="R96">
        <v>11.9</v>
      </c>
      <c r="S96">
        <v>34.200000000000003</v>
      </c>
      <c r="T96">
        <v>13.1</v>
      </c>
    </row>
    <row r="97" spans="1:20" x14ac:dyDescent="0.3">
      <c r="A97" t="s">
        <v>219</v>
      </c>
      <c r="B97">
        <v>100</v>
      </c>
      <c r="C97">
        <v>100</v>
      </c>
      <c r="D97">
        <v>0.21</v>
      </c>
      <c r="E97">
        <v>15176</v>
      </c>
      <c r="F97">
        <v>10</v>
      </c>
      <c r="G97" t="s">
        <v>220</v>
      </c>
      <c r="H97">
        <v>4.8499999999999996</v>
      </c>
      <c r="I97">
        <v>3.08</v>
      </c>
      <c r="J97">
        <v>0.69</v>
      </c>
      <c r="K97">
        <v>1.33</v>
      </c>
      <c r="L97">
        <v>1.89</v>
      </c>
      <c r="M97">
        <v>3</v>
      </c>
      <c r="N97" t="s">
        <v>195</v>
      </c>
      <c r="O97">
        <v>3</v>
      </c>
      <c r="P97" t="s">
        <v>34</v>
      </c>
      <c r="Q97" t="s">
        <v>55</v>
      </c>
      <c r="R97">
        <v>5.6</v>
      </c>
      <c r="S97">
        <v>5.6</v>
      </c>
      <c r="T97">
        <v>6.3</v>
      </c>
    </row>
    <row r="98" spans="1:20" x14ac:dyDescent="0.3">
      <c r="A98" t="s">
        <v>223</v>
      </c>
      <c r="B98">
        <v>500</v>
      </c>
      <c r="C98">
        <v>5000</v>
      </c>
      <c r="D98">
        <v>0.28999999999999998</v>
      </c>
      <c r="E98">
        <v>2344</v>
      </c>
      <c r="F98">
        <v>9</v>
      </c>
      <c r="G98" t="s">
        <v>224</v>
      </c>
      <c r="H98">
        <v>1.54</v>
      </c>
      <c r="I98">
        <v>1.63</v>
      </c>
      <c r="J98">
        <v>0.7</v>
      </c>
      <c r="K98">
        <v>0.63</v>
      </c>
      <c r="L98">
        <v>1.1200000000000001</v>
      </c>
      <c r="M98">
        <v>1</v>
      </c>
      <c r="N98" t="s">
        <v>222</v>
      </c>
      <c r="O98">
        <v>4</v>
      </c>
      <c r="P98" t="s">
        <v>27</v>
      </c>
      <c r="Q98" t="s">
        <v>28</v>
      </c>
      <c r="R98">
        <v>5.4</v>
      </c>
      <c r="S98">
        <v>4.7</v>
      </c>
      <c r="T98">
        <v>5.5</v>
      </c>
    </row>
    <row r="99" spans="1:20" x14ac:dyDescent="0.3">
      <c r="A99" t="s">
        <v>225</v>
      </c>
      <c r="B99">
        <v>500</v>
      </c>
      <c r="C99">
        <v>5000</v>
      </c>
      <c r="D99">
        <v>1.29</v>
      </c>
      <c r="E99">
        <v>8.4</v>
      </c>
      <c r="F99">
        <v>9</v>
      </c>
      <c r="G99" t="s">
        <v>226</v>
      </c>
      <c r="H99">
        <v>0.87</v>
      </c>
      <c r="I99" t="s">
        <v>36</v>
      </c>
      <c r="J99">
        <v>17.079999999999998</v>
      </c>
      <c r="K99" t="s">
        <v>36</v>
      </c>
      <c r="L99">
        <v>0.48</v>
      </c>
      <c r="M99">
        <v>6</v>
      </c>
      <c r="N99" t="s">
        <v>222</v>
      </c>
      <c r="O99">
        <v>0</v>
      </c>
      <c r="P99" t="s">
        <v>23</v>
      </c>
      <c r="Q99" t="s">
        <v>48</v>
      </c>
      <c r="R99">
        <v>-4.2</v>
      </c>
      <c r="S99">
        <v>13.6</v>
      </c>
      <c r="T99">
        <v>5.7</v>
      </c>
    </row>
    <row r="100" spans="1:20" x14ac:dyDescent="0.3">
      <c r="A100" t="s">
        <v>227</v>
      </c>
      <c r="B100">
        <v>500</v>
      </c>
      <c r="C100">
        <v>5000</v>
      </c>
      <c r="D100">
        <v>0.78</v>
      </c>
      <c r="E100">
        <v>1511</v>
      </c>
      <c r="F100">
        <v>10</v>
      </c>
      <c r="G100" t="s">
        <v>224</v>
      </c>
      <c r="H100">
        <v>2.95</v>
      </c>
      <c r="I100">
        <v>0.89</v>
      </c>
      <c r="J100">
        <v>7.21</v>
      </c>
      <c r="K100">
        <v>0.45</v>
      </c>
      <c r="L100">
        <v>1.27</v>
      </c>
      <c r="M100">
        <v>4</v>
      </c>
      <c r="N100" t="s">
        <v>222</v>
      </c>
      <c r="O100">
        <v>3</v>
      </c>
      <c r="P100" t="s">
        <v>27</v>
      </c>
      <c r="Q100" t="s">
        <v>31</v>
      </c>
      <c r="R100">
        <v>3.5</v>
      </c>
      <c r="S100">
        <v>13.4</v>
      </c>
      <c r="T100">
        <v>8</v>
      </c>
    </row>
    <row r="101" spans="1:20" x14ac:dyDescent="0.3">
      <c r="A101" t="s">
        <v>228</v>
      </c>
      <c r="B101">
        <v>500</v>
      </c>
      <c r="C101">
        <v>5000</v>
      </c>
      <c r="D101">
        <v>0.23</v>
      </c>
      <c r="E101">
        <v>3779</v>
      </c>
      <c r="F101">
        <v>10</v>
      </c>
      <c r="G101" t="s">
        <v>229</v>
      </c>
      <c r="H101">
        <v>0.64</v>
      </c>
      <c r="I101">
        <v>5.62</v>
      </c>
      <c r="J101">
        <v>2.39</v>
      </c>
      <c r="K101">
        <v>3.36</v>
      </c>
      <c r="L101">
        <v>0.47</v>
      </c>
      <c r="M101">
        <v>3</v>
      </c>
      <c r="N101" t="s">
        <v>222</v>
      </c>
      <c r="O101">
        <v>1</v>
      </c>
      <c r="P101" t="s">
        <v>34</v>
      </c>
      <c r="Q101" t="s">
        <v>35</v>
      </c>
      <c r="R101">
        <v>2.2000000000000002</v>
      </c>
      <c r="S101">
        <v>6</v>
      </c>
      <c r="T101">
        <v>6.5</v>
      </c>
    </row>
    <row r="102" spans="1:20" x14ac:dyDescent="0.3">
      <c r="A102" t="s">
        <v>230</v>
      </c>
      <c r="B102">
        <v>500</v>
      </c>
      <c r="C102">
        <v>5000</v>
      </c>
      <c r="D102">
        <v>1.42</v>
      </c>
      <c r="E102">
        <v>535</v>
      </c>
      <c r="F102">
        <v>9</v>
      </c>
      <c r="G102" t="s">
        <v>231</v>
      </c>
      <c r="H102">
        <v>3.13</v>
      </c>
      <c r="I102">
        <v>2.69</v>
      </c>
      <c r="J102">
        <v>17.41</v>
      </c>
      <c r="K102">
        <v>0.97</v>
      </c>
      <c r="L102">
        <v>1.46</v>
      </c>
      <c r="M102">
        <v>6</v>
      </c>
      <c r="N102" t="s">
        <v>222</v>
      </c>
      <c r="O102">
        <v>0</v>
      </c>
      <c r="P102" t="s">
        <v>32</v>
      </c>
      <c r="Q102" t="s">
        <v>33</v>
      </c>
      <c r="R102">
        <v>7</v>
      </c>
      <c r="S102">
        <v>28</v>
      </c>
      <c r="T102">
        <v>8.6999999999999993</v>
      </c>
    </row>
    <row r="103" spans="1:20" x14ac:dyDescent="0.3">
      <c r="A103" t="s">
        <v>232</v>
      </c>
      <c r="B103">
        <v>500</v>
      </c>
      <c r="C103">
        <v>5000</v>
      </c>
      <c r="D103">
        <v>1.34</v>
      </c>
      <c r="E103">
        <v>122</v>
      </c>
      <c r="F103">
        <v>10</v>
      </c>
      <c r="G103" t="s">
        <v>224</v>
      </c>
      <c r="H103">
        <v>2.2999999999999998</v>
      </c>
      <c r="I103">
        <v>0.76</v>
      </c>
      <c r="J103">
        <v>4.75</v>
      </c>
      <c r="K103">
        <v>0.74</v>
      </c>
      <c r="L103">
        <v>1.28</v>
      </c>
      <c r="M103">
        <v>4</v>
      </c>
      <c r="N103" t="s">
        <v>222</v>
      </c>
      <c r="O103">
        <v>3</v>
      </c>
      <c r="P103" t="s">
        <v>27</v>
      </c>
      <c r="Q103" t="s">
        <v>59</v>
      </c>
      <c r="R103">
        <v>2.2999999999999998</v>
      </c>
      <c r="S103">
        <v>10.3</v>
      </c>
      <c r="T103">
        <v>7.5</v>
      </c>
    </row>
    <row r="104" spans="1:20" x14ac:dyDescent="0.3">
      <c r="A104" t="s">
        <v>233</v>
      </c>
      <c r="B104">
        <v>500</v>
      </c>
      <c r="C104">
        <v>5000</v>
      </c>
      <c r="D104">
        <v>0.35</v>
      </c>
      <c r="E104">
        <v>157</v>
      </c>
      <c r="F104">
        <v>2</v>
      </c>
      <c r="G104" t="s">
        <v>224</v>
      </c>
      <c r="H104">
        <v>0.44</v>
      </c>
      <c r="I104">
        <v>0.67</v>
      </c>
      <c r="J104">
        <v>2.4700000000000002</v>
      </c>
      <c r="K104">
        <v>1.0900000000000001</v>
      </c>
      <c r="L104">
        <v>0.39</v>
      </c>
      <c r="M104">
        <v>2</v>
      </c>
      <c r="N104" t="s">
        <v>222</v>
      </c>
      <c r="O104">
        <v>2</v>
      </c>
      <c r="P104" t="s">
        <v>34</v>
      </c>
      <c r="Q104" t="s">
        <v>37</v>
      </c>
      <c r="R104">
        <v>1.7</v>
      </c>
      <c r="S104">
        <v>32.4</v>
      </c>
      <c r="T104">
        <v>13.3</v>
      </c>
    </row>
    <row r="105" spans="1:20" x14ac:dyDescent="0.3">
      <c r="A105" t="s">
        <v>233</v>
      </c>
      <c r="B105">
        <v>500</v>
      </c>
      <c r="C105">
        <v>5000</v>
      </c>
      <c r="D105">
        <v>0.28999999999999998</v>
      </c>
      <c r="E105">
        <v>6772</v>
      </c>
      <c r="F105">
        <v>10</v>
      </c>
      <c r="G105" t="s">
        <v>221</v>
      </c>
      <c r="H105">
        <v>0.67</v>
      </c>
      <c r="I105">
        <v>1.19</v>
      </c>
      <c r="J105">
        <v>3.55</v>
      </c>
      <c r="K105">
        <v>1.68</v>
      </c>
      <c r="L105">
        <v>0.47</v>
      </c>
      <c r="M105">
        <v>3</v>
      </c>
      <c r="N105" t="s">
        <v>222</v>
      </c>
      <c r="O105">
        <v>1</v>
      </c>
      <c r="P105" t="s">
        <v>34</v>
      </c>
      <c r="Q105" t="s">
        <v>37</v>
      </c>
      <c r="R105">
        <v>3.3</v>
      </c>
      <c r="S105">
        <v>6.6</v>
      </c>
      <c r="T105">
        <v>7.6</v>
      </c>
    </row>
    <row r="106" spans="1:20" x14ac:dyDescent="0.3">
      <c r="A106" t="s">
        <v>234</v>
      </c>
      <c r="B106">
        <v>500</v>
      </c>
      <c r="C106">
        <v>5000</v>
      </c>
      <c r="D106">
        <v>0.85</v>
      </c>
      <c r="E106">
        <v>130</v>
      </c>
      <c r="F106">
        <v>10</v>
      </c>
      <c r="G106" t="s">
        <v>221</v>
      </c>
      <c r="H106">
        <v>0.33</v>
      </c>
      <c r="I106">
        <v>-1.87</v>
      </c>
      <c r="J106">
        <v>3.73</v>
      </c>
      <c r="K106">
        <v>-2.39</v>
      </c>
      <c r="L106">
        <v>0.35</v>
      </c>
      <c r="M106">
        <v>4</v>
      </c>
      <c r="N106" t="s">
        <v>222</v>
      </c>
      <c r="O106">
        <v>3</v>
      </c>
      <c r="P106" t="s">
        <v>34</v>
      </c>
      <c r="Q106" t="s">
        <v>38</v>
      </c>
      <c r="R106">
        <v>4.8</v>
      </c>
      <c r="S106">
        <v>5.7</v>
      </c>
      <c r="T106">
        <v>5.0999999999999996</v>
      </c>
    </row>
    <row r="107" spans="1:20" x14ac:dyDescent="0.3">
      <c r="A107" t="s">
        <v>235</v>
      </c>
      <c r="B107">
        <v>500</v>
      </c>
      <c r="C107">
        <v>5000</v>
      </c>
      <c r="D107">
        <v>0.28999999999999998</v>
      </c>
      <c r="E107">
        <v>200</v>
      </c>
      <c r="F107">
        <v>10</v>
      </c>
      <c r="G107" t="s">
        <v>221</v>
      </c>
      <c r="H107">
        <v>0.44</v>
      </c>
      <c r="I107">
        <v>0.67</v>
      </c>
      <c r="J107">
        <v>2.4700000000000002</v>
      </c>
      <c r="K107">
        <v>1.0900000000000001</v>
      </c>
      <c r="L107">
        <v>0.39</v>
      </c>
      <c r="M107">
        <v>3</v>
      </c>
      <c r="N107" t="s">
        <v>222</v>
      </c>
      <c r="O107">
        <v>3</v>
      </c>
      <c r="P107" t="s">
        <v>34</v>
      </c>
      <c r="Q107" t="s">
        <v>40</v>
      </c>
      <c r="R107">
        <v>4.7</v>
      </c>
      <c r="S107">
        <v>5.4</v>
      </c>
      <c r="T107">
        <v>6.8</v>
      </c>
    </row>
    <row r="108" spans="1:20" x14ac:dyDescent="0.3">
      <c r="A108" t="s">
        <v>236</v>
      </c>
      <c r="B108">
        <v>500</v>
      </c>
      <c r="C108">
        <v>500</v>
      </c>
      <c r="D108">
        <v>1.1599999999999999</v>
      </c>
      <c r="E108">
        <v>3007</v>
      </c>
      <c r="F108">
        <v>10</v>
      </c>
      <c r="G108" t="s">
        <v>237</v>
      </c>
      <c r="H108">
        <v>2.8</v>
      </c>
      <c r="I108">
        <v>-0.03</v>
      </c>
      <c r="J108">
        <v>16.03</v>
      </c>
      <c r="K108">
        <v>0.91</v>
      </c>
      <c r="L108">
        <v>1.33</v>
      </c>
      <c r="M108">
        <v>6</v>
      </c>
      <c r="N108" t="s">
        <v>222</v>
      </c>
      <c r="O108">
        <v>1</v>
      </c>
      <c r="P108" t="s">
        <v>32</v>
      </c>
      <c r="Q108" t="s">
        <v>64</v>
      </c>
      <c r="R108">
        <v>-1.2</v>
      </c>
      <c r="S108">
        <v>24.1</v>
      </c>
      <c r="T108">
        <v>8</v>
      </c>
    </row>
    <row r="109" spans="1:20" x14ac:dyDescent="0.3">
      <c r="A109" t="s">
        <v>238</v>
      </c>
      <c r="B109">
        <v>500</v>
      </c>
      <c r="C109">
        <v>5000</v>
      </c>
      <c r="D109">
        <v>1</v>
      </c>
      <c r="E109">
        <v>474</v>
      </c>
      <c r="F109">
        <v>4</v>
      </c>
      <c r="G109" t="s">
        <v>239</v>
      </c>
      <c r="H109">
        <v>2.41</v>
      </c>
      <c r="I109">
        <v>0.56999999999999995</v>
      </c>
      <c r="J109">
        <v>12.27</v>
      </c>
      <c r="K109">
        <v>0.81</v>
      </c>
      <c r="L109">
        <v>1.26</v>
      </c>
      <c r="M109">
        <v>6</v>
      </c>
      <c r="N109" t="s">
        <v>222</v>
      </c>
      <c r="O109">
        <v>3</v>
      </c>
      <c r="P109" t="s">
        <v>27</v>
      </c>
      <c r="Q109" t="s">
        <v>42</v>
      </c>
      <c r="R109">
        <v>1.7</v>
      </c>
      <c r="S109">
        <v>32.4</v>
      </c>
      <c r="T109">
        <v>13.3</v>
      </c>
    </row>
    <row r="110" spans="1:20" x14ac:dyDescent="0.3">
      <c r="A110" t="s">
        <v>240</v>
      </c>
      <c r="B110">
        <v>500</v>
      </c>
      <c r="C110">
        <v>5000</v>
      </c>
      <c r="D110">
        <v>0.62</v>
      </c>
      <c r="E110">
        <v>150</v>
      </c>
      <c r="F110">
        <v>10</v>
      </c>
      <c r="G110" t="s">
        <v>224</v>
      </c>
      <c r="H110">
        <v>4.47</v>
      </c>
      <c r="I110">
        <v>5.57</v>
      </c>
      <c r="J110">
        <v>6.24</v>
      </c>
      <c r="K110">
        <v>0.85</v>
      </c>
      <c r="L110">
        <v>1.86</v>
      </c>
      <c r="M110">
        <v>3</v>
      </c>
      <c r="N110" t="s">
        <v>222</v>
      </c>
      <c r="O110">
        <v>2</v>
      </c>
      <c r="P110" t="s">
        <v>27</v>
      </c>
      <c r="Q110" t="s">
        <v>43</v>
      </c>
      <c r="R110">
        <v>2.9</v>
      </c>
      <c r="S110">
        <v>15.5</v>
      </c>
      <c r="T110">
        <v>7.5</v>
      </c>
    </row>
    <row r="111" spans="1:20" x14ac:dyDescent="0.3">
      <c r="A111" t="s">
        <v>241</v>
      </c>
      <c r="B111">
        <v>500</v>
      </c>
      <c r="C111">
        <v>5000</v>
      </c>
      <c r="D111">
        <v>1.23</v>
      </c>
      <c r="E111">
        <v>3097</v>
      </c>
      <c r="F111">
        <v>10</v>
      </c>
      <c r="G111" t="s">
        <v>242</v>
      </c>
      <c r="H111">
        <v>2.92</v>
      </c>
      <c r="I111">
        <v>0.36</v>
      </c>
      <c r="J111">
        <v>16.25</v>
      </c>
      <c r="K111">
        <v>0.94</v>
      </c>
      <c r="L111">
        <v>1.38</v>
      </c>
      <c r="M111">
        <v>6</v>
      </c>
      <c r="N111" t="s">
        <v>222</v>
      </c>
      <c r="O111">
        <v>2</v>
      </c>
      <c r="P111" t="s">
        <v>32</v>
      </c>
      <c r="Q111" t="s">
        <v>44</v>
      </c>
      <c r="R111">
        <v>-1.2</v>
      </c>
      <c r="S111">
        <v>26.4</v>
      </c>
      <c r="T111">
        <v>9.1999999999999993</v>
      </c>
    </row>
    <row r="112" spans="1:20" x14ac:dyDescent="0.3">
      <c r="A112" t="s">
        <v>243</v>
      </c>
      <c r="B112">
        <v>500</v>
      </c>
      <c r="C112">
        <v>5000</v>
      </c>
      <c r="D112">
        <v>0.94</v>
      </c>
      <c r="E112">
        <v>54</v>
      </c>
      <c r="F112">
        <v>10</v>
      </c>
      <c r="G112" t="s">
        <v>224</v>
      </c>
      <c r="H112">
        <v>0.44</v>
      </c>
      <c r="I112">
        <v>0.67</v>
      </c>
      <c r="J112">
        <v>2.4700000000000002</v>
      </c>
      <c r="K112">
        <v>1.0900000000000001</v>
      </c>
      <c r="L112">
        <v>0.39</v>
      </c>
      <c r="M112">
        <v>3</v>
      </c>
      <c r="N112" t="s">
        <v>222</v>
      </c>
      <c r="O112">
        <v>2</v>
      </c>
      <c r="P112" t="s">
        <v>34</v>
      </c>
      <c r="Q112" t="s">
        <v>40</v>
      </c>
      <c r="R112">
        <v>1.7</v>
      </c>
      <c r="S112">
        <v>32.4</v>
      </c>
      <c r="T112">
        <v>13.3</v>
      </c>
    </row>
    <row r="113" spans="1:20" x14ac:dyDescent="0.3">
      <c r="A113" t="s">
        <v>244</v>
      </c>
      <c r="B113">
        <v>500</v>
      </c>
      <c r="C113">
        <v>5000</v>
      </c>
      <c r="D113">
        <v>0.48</v>
      </c>
      <c r="E113">
        <v>231</v>
      </c>
      <c r="F113">
        <v>10</v>
      </c>
      <c r="G113" t="s">
        <v>229</v>
      </c>
      <c r="H113">
        <v>0.49</v>
      </c>
      <c r="I113">
        <v>0.51</v>
      </c>
      <c r="J113">
        <v>2.94</v>
      </c>
      <c r="K113">
        <v>0.64</v>
      </c>
      <c r="L113">
        <v>0.41</v>
      </c>
      <c r="M113">
        <v>3</v>
      </c>
      <c r="N113" t="s">
        <v>222</v>
      </c>
      <c r="O113">
        <v>3</v>
      </c>
      <c r="P113" t="s">
        <v>34</v>
      </c>
      <c r="Q113" t="s">
        <v>49</v>
      </c>
      <c r="R113">
        <v>5</v>
      </c>
      <c r="S113">
        <v>5.4</v>
      </c>
      <c r="T113">
        <v>7.1</v>
      </c>
    </row>
    <row r="114" spans="1:20" x14ac:dyDescent="0.3">
      <c r="A114" t="s">
        <v>245</v>
      </c>
      <c r="B114">
        <v>500</v>
      </c>
      <c r="C114">
        <v>5000</v>
      </c>
      <c r="D114">
        <v>1.1399999999999999</v>
      </c>
      <c r="E114">
        <v>1476</v>
      </c>
      <c r="F114">
        <v>10</v>
      </c>
      <c r="G114" t="s">
        <v>231</v>
      </c>
      <c r="H114">
        <v>3.69</v>
      </c>
      <c r="I114">
        <v>10.029999999999999</v>
      </c>
      <c r="J114">
        <v>16.32</v>
      </c>
      <c r="K114">
        <v>0.6</v>
      </c>
      <c r="L114">
        <v>1.78</v>
      </c>
      <c r="M114">
        <v>6</v>
      </c>
      <c r="N114" t="s">
        <v>222</v>
      </c>
      <c r="O114">
        <v>2</v>
      </c>
      <c r="P114" t="s">
        <v>32</v>
      </c>
      <c r="Q114" t="s">
        <v>33</v>
      </c>
      <c r="R114">
        <v>11.3</v>
      </c>
      <c r="S114">
        <v>33.6</v>
      </c>
      <c r="T114">
        <v>9.3000000000000007</v>
      </c>
    </row>
    <row r="115" spans="1:20" x14ac:dyDescent="0.3">
      <c r="A115" t="s">
        <v>246</v>
      </c>
      <c r="B115">
        <v>500</v>
      </c>
      <c r="C115">
        <v>5000</v>
      </c>
      <c r="D115">
        <v>1.08</v>
      </c>
      <c r="E115">
        <v>1992</v>
      </c>
      <c r="F115">
        <v>4</v>
      </c>
      <c r="G115" t="s">
        <v>239</v>
      </c>
      <c r="H115">
        <v>3.02</v>
      </c>
      <c r="I115">
        <v>1.39</v>
      </c>
      <c r="J115">
        <v>15.85</v>
      </c>
      <c r="K115">
        <v>0.91</v>
      </c>
      <c r="L115">
        <v>1.4</v>
      </c>
      <c r="M115">
        <v>6</v>
      </c>
      <c r="N115" t="s">
        <v>222</v>
      </c>
      <c r="O115">
        <v>2</v>
      </c>
      <c r="P115" t="s">
        <v>32</v>
      </c>
      <c r="Q115" t="s">
        <v>41</v>
      </c>
      <c r="R115">
        <v>-0.6</v>
      </c>
      <c r="S115">
        <v>25.6</v>
      </c>
    </row>
    <row r="116" spans="1:20" x14ac:dyDescent="0.3">
      <c r="A116" t="s">
        <v>247</v>
      </c>
      <c r="B116">
        <v>500</v>
      </c>
      <c r="C116">
        <v>5000</v>
      </c>
      <c r="D116">
        <v>1.26</v>
      </c>
      <c r="E116">
        <v>1405</v>
      </c>
      <c r="F116">
        <v>10</v>
      </c>
      <c r="G116" t="s">
        <v>239</v>
      </c>
      <c r="H116">
        <v>2.6</v>
      </c>
      <c r="I116">
        <v>-2.34</v>
      </c>
      <c r="J116">
        <v>16.62</v>
      </c>
      <c r="K116">
        <v>0.97</v>
      </c>
      <c r="L116">
        <v>1.18</v>
      </c>
      <c r="M116">
        <v>6</v>
      </c>
      <c r="N116" t="s">
        <v>222</v>
      </c>
      <c r="O116">
        <v>2</v>
      </c>
      <c r="P116" t="s">
        <v>32</v>
      </c>
      <c r="Q116" t="s">
        <v>47</v>
      </c>
      <c r="R116">
        <v>0</v>
      </c>
      <c r="S116">
        <v>23.3</v>
      </c>
      <c r="T116">
        <v>10.6</v>
      </c>
    </row>
    <row r="117" spans="1:20" x14ac:dyDescent="0.3">
      <c r="A117" t="s">
        <v>248</v>
      </c>
      <c r="B117">
        <v>500</v>
      </c>
      <c r="C117">
        <v>5000</v>
      </c>
      <c r="D117">
        <v>0.12</v>
      </c>
      <c r="E117">
        <v>12043</v>
      </c>
      <c r="F117">
        <v>10</v>
      </c>
      <c r="G117" t="s">
        <v>249</v>
      </c>
      <c r="H117">
        <v>4.42</v>
      </c>
      <c r="I117">
        <v>1.38</v>
      </c>
      <c r="J117">
        <v>0.38</v>
      </c>
      <c r="K117">
        <v>0.77</v>
      </c>
      <c r="L117">
        <v>0.91</v>
      </c>
      <c r="M117">
        <v>2</v>
      </c>
      <c r="N117" t="s">
        <v>222</v>
      </c>
      <c r="O117">
        <v>3</v>
      </c>
      <c r="P117" t="s">
        <v>34</v>
      </c>
      <c r="Q117" t="s">
        <v>51</v>
      </c>
      <c r="R117">
        <v>5.7</v>
      </c>
      <c r="S117">
        <v>4.3</v>
      </c>
      <c r="T117">
        <v>5.3</v>
      </c>
    </row>
    <row r="118" spans="1:20" x14ac:dyDescent="0.3">
      <c r="A118" t="s">
        <v>250</v>
      </c>
      <c r="B118">
        <v>500</v>
      </c>
      <c r="C118">
        <v>5000</v>
      </c>
      <c r="D118">
        <v>0.25</v>
      </c>
      <c r="E118">
        <v>467</v>
      </c>
      <c r="F118">
        <v>10</v>
      </c>
      <c r="G118" t="s">
        <v>221</v>
      </c>
      <c r="H118">
        <v>0.63</v>
      </c>
      <c r="I118">
        <v>0.3</v>
      </c>
      <c r="J118">
        <v>2.3199999999999998</v>
      </c>
      <c r="K118">
        <v>-0.78</v>
      </c>
      <c r="L118">
        <v>0.57999999999999996</v>
      </c>
      <c r="M118">
        <v>2</v>
      </c>
      <c r="N118" t="s">
        <v>222</v>
      </c>
      <c r="O118">
        <v>3</v>
      </c>
      <c r="P118" t="s">
        <v>34</v>
      </c>
      <c r="Q118" t="s">
        <v>52</v>
      </c>
      <c r="R118">
        <v>5.2</v>
      </c>
      <c r="S118">
        <v>5.6</v>
      </c>
      <c r="T118">
        <v>5.8</v>
      </c>
    </row>
    <row r="119" spans="1:20" x14ac:dyDescent="0.3">
      <c r="A119" t="s">
        <v>251</v>
      </c>
      <c r="B119">
        <v>100</v>
      </c>
      <c r="C119">
        <v>5000</v>
      </c>
      <c r="D119">
        <v>0.62</v>
      </c>
      <c r="E119">
        <v>6754</v>
      </c>
      <c r="F119">
        <v>10</v>
      </c>
      <c r="G119" t="s">
        <v>252</v>
      </c>
      <c r="H119">
        <v>2.39</v>
      </c>
      <c r="I119">
        <v>2.84</v>
      </c>
      <c r="J119">
        <v>2.25</v>
      </c>
      <c r="K119">
        <v>0.98</v>
      </c>
      <c r="L119">
        <v>1.38</v>
      </c>
      <c r="M119">
        <v>3</v>
      </c>
      <c r="N119" t="s">
        <v>253</v>
      </c>
      <c r="O119">
        <v>5</v>
      </c>
      <c r="P119" t="s">
        <v>34</v>
      </c>
      <c r="Q119" t="s">
        <v>40</v>
      </c>
      <c r="R119">
        <v>6.5</v>
      </c>
      <c r="S119">
        <v>7.5</v>
      </c>
      <c r="T119">
        <v>8.1999999999999993</v>
      </c>
    </row>
    <row r="120" spans="1:20" x14ac:dyDescent="0.3">
      <c r="A120" t="s">
        <v>254</v>
      </c>
      <c r="B120">
        <v>1000</v>
      </c>
      <c r="C120">
        <v>5000</v>
      </c>
      <c r="D120">
        <v>0.18</v>
      </c>
      <c r="E120">
        <v>18393</v>
      </c>
      <c r="F120">
        <v>10</v>
      </c>
      <c r="G120" t="s">
        <v>255</v>
      </c>
      <c r="H120">
        <v>5.89</v>
      </c>
      <c r="I120">
        <v>7.45</v>
      </c>
      <c r="J120">
        <v>8.68</v>
      </c>
      <c r="K120">
        <v>0.53</v>
      </c>
      <c r="L120">
        <v>1.99</v>
      </c>
      <c r="M120">
        <v>4</v>
      </c>
      <c r="N120" t="s">
        <v>253</v>
      </c>
      <c r="O120">
        <v>4</v>
      </c>
      <c r="P120" t="s">
        <v>23</v>
      </c>
      <c r="Q120" t="s">
        <v>24</v>
      </c>
      <c r="R120">
        <v>8.8000000000000007</v>
      </c>
      <c r="S120">
        <v>21.6</v>
      </c>
      <c r="T120">
        <v>12.8</v>
      </c>
    </row>
    <row r="121" spans="1:20" x14ac:dyDescent="0.3">
      <c r="A121" t="s">
        <v>256</v>
      </c>
      <c r="B121">
        <v>100</v>
      </c>
      <c r="C121">
        <v>500</v>
      </c>
      <c r="D121">
        <v>0.91</v>
      </c>
      <c r="E121">
        <v>44515</v>
      </c>
      <c r="F121">
        <v>10</v>
      </c>
      <c r="G121" t="s">
        <v>257</v>
      </c>
      <c r="H121">
        <v>5.59</v>
      </c>
      <c r="I121">
        <v>5.34</v>
      </c>
      <c r="J121">
        <v>8.33</v>
      </c>
      <c r="K121">
        <v>0.54</v>
      </c>
      <c r="L121">
        <v>1.84</v>
      </c>
      <c r="M121">
        <v>5</v>
      </c>
      <c r="N121" t="s">
        <v>253</v>
      </c>
      <c r="O121">
        <v>4</v>
      </c>
      <c r="P121" t="s">
        <v>27</v>
      </c>
      <c r="Q121" t="s">
        <v>31</v>
      </c>
      <c r="R121">
        <v>6.7</v>
      </c>
      <c r="S121">
        <v>19.7</v>
      </c>
      <c r="T121">
        <v>10.4</v>
      </c>
    </row>
    <row r="122" spans="1:20" x14ac:dyDescent="0.3">
      <c r="A122" t="s">
        <v>258</v>
      </c>
      <c r="B122">
        <v>100</v>
      </c>
      <c r="C122">
        <v>5000</v>
      </c>
      <c r="D122">
        <v>1.1000000000000001</v>
      </c>
      <c r="E122">
        <v>5871</v>
      </c>
      <c r="F122">
        <v>10</v>
      </c>
      <c r="G122" t="s">
        <v>259</v>
      </c>
      <c r="H122">
        <v>2.23</v>
      </c>
      <c r="I122">
        <v>3.74</v>
      </c>
      <c r="J122">
        <v>23.41</v>
      </c>
      <c r="K122">
        <v>0.87</v>
      </c>
      <c r="L122">
        <v>1.06</v>
      </c>
      <c r="M122">
        <v>6</v>
      </c>
      <c r="N122" t="s">
        <v>253</v>
      </c>
      <c r="O122">
        <v>3</v>
      </c>
      <c r="P122" t="s">
        <v>32</v>
      </c>
      <c r="Q122" t="s">
        <v>33</v>
      </c>
      <c r="R122">
        <v>7</v>
      </c>
      <c r="S122">
        <v>24.9</v>
      </c>
      <c r="T122">
        <v>9.6999999999999993</v>
      </c>
    </row>
    <row r="123" spans="1:20" x14ac:dyDescent="0.3">
      <c r="A123" t="s">
        <v>260</v>
      </c>
      <c r="B123">
        <v>100</v>
      </c>
      <c r="C123">
        <v>500</v>
      </c>
      <c r="D123">
        <v>0.38</v>
      </c>
      <c r="E123">
        <v>7265</v>
      </c>
      <c r="F123">
        <v>10</v>
      </c>
      <c r="G123" t="s">
        <v>261</v>
      </c>
      <c r="H123">
        <v>2.64</v>
      </c>
      <c r="I123">
        <v>4.03</v>
      </c>
      <c r="J123">
        <v>1.75</v>
      </c>
      <c r="K123">
        <v>1.21</v>
      </c>
      <c r="L123">
        <v>1.37</v>
      </c>
      <c r="M123">
        <v>2</v>
      </c>
      <c r="N123" t="s">
        <v>253</v>
      </c>
      <c r="O123">
        <v>5</v>
      </c>
      <c r="P123" t="s">
        <v>34</v>
      </c>
      <c r="Q123" t="s">
        <v>35</v>
      </c>
      <c r="R123">
        <v>5.8</v>
      </c>
      <c r="S123">
        <v>6.9</v>
      </c>
      <c r="T123">
        <v>7.2</v>
      </c>
    </row>
    <row r="124" spans="1:20" x14ac:dyDescent="0.3">
      <c r="A124" t="s">
        <v>262</v>
      </c>
      <c r="B124">
        <v>1000</v>
      </c>
      <c r="C124">
        <v>5000</v>
      </c>
      <c r="D124">
        <v>0.08</v>
      </c>
      <c r="E124">
        <v>89</v>
      </c>
      <c r="F124">
        <v>5</v>
      </c>
      <c r="G124" t="s">
        <v>263</v>
      </c>
      <c r="H124">
        <v>2.76</v>
      </c>
      <c r="I124">
        <v>9.68</v>
      </c>
      <c r="J124">
        <v>20.2</v>
      </c>
      <c r="K124">
        <v>0.88</v>
      </c>
      <c r="L124">
        <v>1.47</v>
      </c>
      <c r="M124">
        <v>6</v>
      </c>
      <c r="N124" t="s">
        <v>253</v>
      </c>
      <c r="O124">
        <v>5</v>
      </c>
      <c r="P124" t="s">
        <v>23</v>
      </c>
      <c r="Q124" t="s">
        <v>24</v>
      </c>
      <c r="R124">
        <v>22.1</v>
      </c>
      <c r="S124">
        <v>35</v>
      </c>
    </row>
    <row r="125" spans="1:20" x14ac:dyDescent="0.3">
      <c r="A125" t="s">
        <v>264</v>
      </c>
      <c r="B125">
        <v>100</v>
      </c>
      <c r="C125">
        <v>5000</v>
      </c>
      <c r="D125">
        <v>1.54</v>
      </c>
      <c r="E125">
        <v>1866</v>
      </c>
      <c r="F125">
        <v>4</v>
      </c>
      <c r="G125" t="s">
        <v>257</v>
      </c>
      <c r="H125">
        <v>3.37</v>
      </c>
      <c r="I125">
        <v>4.95</v>
      </c>
      <c r="J125">
        <v>11.73</v>
      </c>
      <c r="K125">
        <v>0.6</v>
      </c>
      <c r="L125">
        <v>1.6</v>
      </c>
      <c r="M125">
        <v>6</v>
      </c>
      <c r="N125" t="s">
        <v>253</v>
      </c>
      <c r="O125">
        <v>3</v>
      </c>
      <c r="P125" t="s">
        <v>32</v>
      </c>
      <c r="Q125" t="s">
        <v>33</v>
      </c>
      <c r="R125">
        <v>10.199999999999999</v>
      </c>
      <c r="S125">
        <v>22.7</v>
      </c>
    </row>
    <row r="126" spans="1:20" x14ac:dyDescent="0.3">
      <c r="A126" t="s">
        <v>265</v>
      </c>
      <c r="B126">
        <v>100</v>
      </c>
      <c r="C126">
        <v>100</v>
      </c>
      <c r="D126">
        <v>1.06</v>
      </c>
      <c r="E126">
        <v>34198</v>
      </c>
      <c r="F126">
        <v>10</v>
      </c>
      <c r="G126" t="s">
        <v>266</v>
      </c>
      <c r="H126">
        <v>3.59</v>
      </c>
      <c r="I126">
        <v>3.05</v>
      </c>
      <c r="J126">
        <v>15.23</v>
      </c>
      <c r="K126">
        <v>0.9</v>
      </c>
      <c r="L126">
        <v>1.53</v>
      </c>
      <c r="M126">
        <v>6</v>
      </c>
      <c r="N126" t="s">
        <v>253</v>
      </c>
      <c r="O126">
        <v>4</v>
      </c>
      <c r="P126" t="s">
        <v>32</v>
      </c>
      <c r="Q126" t="s">
        <v>47</v>
      </c>
      <c r="R126">
        <v>4.4000000000000004</v>
      </c>
      <c r="S126">
        <v>28.2</v>
      </c>
      <c r="T126">
        <v>12.3</v>
      </c>
    </row>
    <row r="127" spans="1:20" x14ac:dyDescent="0.3">
      <c r="A127" t="s">
        <v>267</v>
      </c>
      <c r="B127">
        <v>100</v>
      </c>
      <c r="C127">
        <v>5000</v>
      </c>
      <c r="D127">
        <v>0.6</v>
      </c>
      <c r="E127">
        <v>2223</v>
      </c>
      <c r="F127">
        <v>10</v>
      </c>
      <c r="G127" t="s">
        <v>252</v>
      </c>
      <c r="H127">
        <v>1.2</v>
      </c>
      <c r="I127">
        <v>1.58</v>
      </c>
      <c r="J127">
        <v>2.69</v>
      </c>
      <c r="K127">
        <v>1.26</v>
      </c>
      <c r="L127">
        <v>0.72</v>
      </c>
      <c r="M127">
        <v>3</v>
      </c>
      <c r="N127" t="s">
        <v>253</v>
      </c>
      <c r="O127">
        <v>3</v>
      </c>
      <c r="P127" t="s">
        <v>34</v>
      </c>
      <c r="Q127" t="s">
        <v>50</v>
      </c>
      <c r="R127">
        <v>5.2</v>
      </c>
      <c r="S127">
        <v>6.9</v>
      </c>
      <c r="T127">
        <v>7.3</v>
      </c>
    </row>
    <row r="128" spans="1:20" x14ac:dyDescent="0.3">
      <c r="A128" t="s">
        <v>268</v>
      </c>
      <c r="B128">
        <v>100</v>
      </c>
      <c r="C128">
        <v>5000</v>
      </c>
      <c r="D128">
        <v>1.69</v>
      </c>
      <c r="E128">
        <v>844</v>
      </c>
      <c r="F128">
        <v>10</v>
      </c>
      <c r="G128" t="s">
        <v>252</v>
      </c>
      <c r="H128">
        <v>2.86</v>
      </c>
      <c r="I128">
        <v>2.1800000000000002</v>
      </c>
      <c r="J128">
        <v>11.15</v>
      </c>
      <c r="K128">
        <v>0.74</v>
      </c>
      <c r="L128">
        <v>1.42</v>
      </c>
      <c r="M128">
        <v>6</v>
      </c>
      <c r="N128" t="s">
        <v>253</v>
      </c>
      <c r="O128">
        <v>3</v>
      </c>
      <c r="P128" t="s">
        <v>29</v>
      </c>
      <c r="Q128" t="s">
        <v>30</v>
      </c>
      <c r="R128">
        <v>1</v>
      </c>
      <c r="S128">
        <v>19.8</v>
      </c>
      <c r="T128">
        <v>8.8000000000000007</v>
      </c>
    </row>
    <row r="129" spans="1:20" x14ac:dyDescent="0.3">
      <c r="A129" t="s">
        <v>269</v>
      </c>
      <c r="B129">
        <v>100</v>
      </c>
      <c r="C129">
        <v>100</v>
      </c>
      <c r="D129">
        <v>0.3</v>
      </c>
      <c r="E129">
        <v>16998</v>
      </c>
      <c r="F129">
        <v>10</v>
      </c>
      <c r="G129" t="s">
        <v>261</v>
      </c>
      <c r="H129">
        <v>3.07</v>
      </c>
      <c r="I129">
        <v>2.35</v>
      </c>
      <c r="J129">
        <v>1.67</v>
      </c>
      <c r="K129">
        <v>0.68</v>
      </c>
      <c r="L129">
        <v>1.52</v>
      </c>
      <c r="M129">
        <v>2</v>
      </c>
      <c r="N129" t="s">
        <v>253</v>
      </c>
      <c r="O129">
        <v>5</v>
      </c>
      <c r="P129" t="s">
        <v>34</v>
      </c>
      <c r="Q129" t="s">
        <v>37</v>
      </c>
      <c r="R129">
        <v>5.8</v>
      </c>
      <c r="S129">
        <v>7</v>
      </c>
      <c r="T129">
        <v>7.3</v>
      </c>
    </row>
    <row r="130" spans="1:20" x14ac:dyDescent="0.3">
      <c r="A130" t="s">
        <v>270</v>
      </c>
      <c r="B130">
        <v>100</v>
      </c>
      <c r="C130">
        <v>100</v>
      </c>
      <c r="D130">
        <v>0.86</v>
      </c>
      <c r="E130">
        <v>7584</v>
      </c>
      <c r="F130">
        <v>10</v>
      </c>
      <c r="G130" t="s">
        <v>252</v>
      </c>
      <c r="H130">
        <v>3.18</v>
      </c>
      <c r="I130">
        <v>3.97</v>
      </c>
      <c r="J130">
        <v>1.59</v>
      </c>
      <c r="K130">
        <v>0.42</v>
      </c>
      <c r="L130">
        <v>2.15</v>
      </c>
      <c r="M130">
        <v>4</v>
      </c>
      <c r="N130" t="s">
        <v>253</v>
      </c>
      <c r="O130">
        <v>4</v>
      </c>
      <c r="P130" t="s">
        <v>34</v>
      </c>
      <c r="Q130" t="s">
        <v>38</v>
      </c>
      <c r="R130">
        <v>5.8</v>
      </c>
      <c r="S130">
        <v>8</v>
      </c>
      <c r="T130">
        <v>8.1</v>
      </c>
    </row>
    <row r="131" spans="1:20" x14ac:dyDescent="0.3">
      <c r="A131" t="s">
        <v>271</v>
      </c>
      <c r="B131">
        <v>100</v>
      </c>
      <c r="C131">
        <v>100</v>
      </c>
      <c r="D131">
        <v>0.41</v>
      </c>
      <c r="E131">
        <v>141</v>
      </c>
      <c r="F131">
        <v>10</v>
      </c>
      <c r="G131" t="s">
        <v>252</v>
      </c>
      <c r="H131">
        <v>3.01</v>
      </c>
      <c r="I131">
        <v>2.0699999999999998</v>
      </c>
      <c r="J131">
        <v>1.61</v>
      </c>
      <c r="K131">
        <v>0.53</v>
      </c>
      <c r="L131">
        <v>1.38</v>
      </c>
      <c r="M131">
        <v>3</v>
      </c>
      <c r="N131" t="s">
        <v>253</v>
      </c>
      <c r="O131">
        <v>4</v>
      </c>
      <c r="P131" t="s">
        <v>23</v>
      </c>
      <c r="Q131" t="s">
        <v>24</v>
      </c>
      <c r="R131">
        <v>5.8</v>
      </c>
      <c r="S131">
        <v>6.7</v>
      </c>
      <c r="T131">
        <v>7</v>
      </c>
    </row>
    <row r="132" spans="1:20" x14ac:dyDescent="0.3">
      <c r="A132" t="s">
        <v>272</v>
      </c>
      <c r="B132">
        <v>100</v>
      </c>
      <c r="C132">
        <v>5000</v>
      </c>
      <c r="D132">
        <v>0.66</v>
      </c>
      <c r="E132">
        <v>1258</v>
      </c>
      <c r="F132">
        <v>9</v>
      </c>
      <c r="G132" t="s">
        <v>273</v>
      </c>
      <c r="H132">
        <v>5.0599999999999996</v>
      </c>
      <c r="I132">
        <v>10.39</v>
      </c>
      <c r="J132">
        <v>15.42</v>
      </c>
      <c r="K132">
        <v>0.83</v>
      </c>
      <c r="L132">
        <v>1.94</v>
      </c>
      <c r="M132">
        <v>6</v>
      </c>
      <c r="N132" t="s">
        <v>253</v>
      </c>
      <c r="O132">
        <v>0</v>
      </c>
      <c r="P132" t="s">
        <v>32</v>
      </c>
      <c r="Q132" t="s">
        <v>39</v>
      </c>
      <c r="R132">
        <v>8.5</v>
      </c>
      <c r="S132">
        <v>37.6</v>
      </c>
      <c r="T132">
        <v>12.1</v>
      </c>
    </row>
    <row r="133" spans="1:20" x14ac:dyDescent="0.3">
      <c r="A133" t="s">
        <v>274</v>
      </c>
      <c r="B133">
        <v>100</v>
      </c>
      <c r="C133">
        <v>5000</v>
      </c>
      <c r="D133">
        <v>1.2</v>
      </c>
      <c r="E133">
        <v>21232</v>
      </c>
      <c r="F133">
        <v>10</v>
      </c>
      <c r="G133" t="s">
        <v>257</v>
      </c>
      <c r="H133">
        <v>4.1500000000000004</v>
      </c>
      <c r="I133">
        <v>9.56</v>
      </c>
      <c r="J133">
        <v>14.26</v>
      </c>
      <c r="K133">
        <v>0.84</v>
      </c>
      <c r="L133">
        <v>1.75</v>
      </c>
      <c r="M133">
        <v>6</v>
      </c>
      <c r="N133" t="s">
        <v>253</v>
      </c>
      <c r="O133">
        <v>5</v>
      </c>
      <c r="P133" t="s">
        <v>27</v>
      </c>
      <c r="Q133" t="s">
        <v>42</v>
      </c>
      <c r="R133">
        <v>6.8</v>
      </c>
      <c r="S133">
        <v>30.6</v>
      </c>
      <c r="T133">
        <v>14.3</v>
      </c>
    </row>
    <row r="134" spans="1:20" x14ac:dyDescent="0.3">
      <c r="A134" t="s">
        <v>275</v>
      </c>
      <c r="B134">
        <v>1000</v>
      </c>
      <c r="C134">
        <v>5000</v>
      </c>
      <c r="D134">
        <v>0.39</v>
      </c>
      <c r="E134">
        <v>11272</v>
      </c>
      <c r="F134">
        <v>10</v>
      </c>
      <c r="G134" t="s">
        <v>263</v>
      </c>
      <c r="H134">
        <v>1.27</v>
      </c>
      <c r="I134">
        <v>1.59</v>
      </c>
      <c r="J134">
        <v>0.75</v>
      </c>
      <c r="K134">
        <v>0.63</v>
      </c>
      <c r="L134">
        <v>0.99</v>
      </c>
      <c r="M134">
        <v>1</v>
      </c>
      <c r="N134" t="s">
        <v>253</v>
      </c>
      <c r="O134">
        <v>3</v>
      </c>
      <c r="P134" t="s">
        <v>27</v>
      </c>
      <c r="Q134" t="s">
        <v>28</v>
      </c>
      <c r="R134">
        <v>5.6</v>
      </c>
      <c r="S134">
        <v>4.8</v>
      </c>
      <c r="T134">
        <v>5.5</v>
      </c>
    </row>
    <row r="135" spans="1:20" x14ac:dyDescent="0.3">
      <c r="A135" t="s">
        <v>278</v>
      </c>
      <c r="B135">
        <v>500</v>
      </c>
      <c r="C135">
        <v>5000</v>
      </c>
      <c r="D135">
        <v>0.61</v>
      </c>
      <c r="E135">
        <v>22</v>
      </c>
      <c r="F135">
        <v>9</v>
      </c>
      <c r="G135" t="s">
        <v>279</v>
      </c>
      <c r="H135">
        <v>3.09</v>
      </c>
      <c r="I135">
        <v>3.08</v>
      </c>
      <c r="J135">
        <v>6.23</v>
      </c>
      <c r="K135">
        <v>-2.4900000000000002</v>
      </c>
      <c r="L135">
        <v>1.03</v>
      </c>
      <c r="M135">
        <v>4</v>
      </c>
      <c r="N135" t="s">
        <v>277</v>
      </c>
      <c r="O135">
        <v>3</v>
      </c>
      <c r="P135" t="s">
        <v>34</v>
      </c>
      <c r="Q135" t="s">
        <v>38</v>
      </c>
      <c r="R135">
        <v>4.3</v>
      </c>
      <c r="S135">
        <v>11.3</v>
      </c>
      <c r="T135">
        <v>3.7</v>
      </c>
    </row>
    <row r="136" spans="1:20" x14ac:dyDescent="0.3">
      <c r="A136" t="s">
        <v>280</v>
      </c>
      <c r="B136">
        <v>500</v>
      </c>
      <c r="C136">
        <v>5000</v>
      </c>
      <c r="D136">
        <v>1.5</v>
      </c>
      <c r="E136">
        <v>85</v>
      </c>
      <c r="F136">
        <v>4</v>
      </c>
      <c r="G136" t="s">
        <v>276</v>
      </c>
      <c r="H136">
        <v>2.79</v>
      </c>
      <c r="I136">
        <v>1.29</v>
      </c>
      <c r="J136">
        <v>14.28</v>
      </c>
      <c r="K136">
        <v>0.81</v>
      </c>
      <c r="L136">
        <v>1.43</v>
      </c>
      <c r="M136">
        <v>6</v>
      </c>
      <c r="N136" t="s">
        <v>277</v>
      </c>
      <c r="O136">
        <v>0</v>
      </c>
      <c r="P136" t="s">
        <v>32</v>
      </c>
      <c r="Q136" t="s">
        <v>39</v>
      </c>
      <c r="R136">
        <v>0.1</v>
      </c>
      <c r="S136">
        <v>25.2</v>
      </c>
    </row>
    <row r="137" spans="1:20" x14ac:dyDescent="0.3">
      <c r="A137" t="s">
        <v>281</v>
      </c>
      <c r="B137">
        <v>500</v>
      </c>
      <c r="C137">
        <v>500</v>
      </c>
      <c r="D137">
        <v>1.21</v>
      </c>
      <c r="E137">
        <v>455</v>
      </c>
      <c r="F137">
        <v>10</v>
      </c>
      <c r="G137" t="s">
        <v>276</v>
      </c>
      <c r="H137">
        <v>2.4</v>
      </c>
      <c r="I137">
        <v>-1.93</v>
      </c>
      <c r="J137">
        <v>14.59</v>
      </c>
      <c r="K137">
        <v>0.8</v>
      </c>
      <c r="L137">
        <v>1.1499999999999999</v>
      </c>
      <c r="M137">
        <v>6</v>
      </c>
      <c r="N137" t="s">
        <v>277</v>
      </c>
      <c r="O137">
        <v>2</v>
      </c>
      <c r="P137" t="s">
        <v>32</v>
      </c>
      <c r="Q137" t="s">
        <v>64</v>
      </c>
      <c r="R137">
        <v>-0.7</v>
      </c>
      <c r="S137">
        <v>33.700000000000003</v>
      </c>
      <c r="T137">
        <v>11.3</v>
      </c>
    </row>
    <row r="138" spans="1:20" x14ac:dyDescent="0.3">
      <c r="A138" t="s">
        <v>282</v>
      </c>
      <c r="B138">
        <v>500</v>
      </c>
      <c r="C138">
        <v>5000</v>
      </c>
      <c r="D138">
        <v>1.1499999999999999</v>
      </c>
      <c r="E138">
        <v>9.77</v>
      </c>
      <c r="F138">
        <v>10</v>
      </c>
      <c r="G138" t="s">
        <v>276</v>
      </c>
      <c r="H138">
        <v>2.48</v>
      </c>
      <c r="I138">
        <v>0.39</v>
      </c>
      <c r="J138">
        <v>7.12</v>
      </c>
      <c r="K138">
        <v>1.05</v>
      </c>
      <c r="L138">
        <v>1.1100000000000001</v>
      </c>
      <c r="M138">
        <v>4</v>
      </c>
      <c r="N138" t="s">
        <v>277</v>
      </c>
      <c r="O138">
        <v>2</v>
      </c>
      <c r="P138" t="s">
        <v>27</v>
      </c>
      <c r="Q138" t="s">
        <v>43</v>
      </c>
      <c r="R138">
        <v>2.5</v>
      </c>
      <c r="S138">
        <v>11.8</v>
      </c>
      <c r="T138">
        <v>7.2</v>
      </c>
    </row>
    <row r="139" spans="1:20" x14ac:dyDescent="0.3">
      <c r="A139" t="s">
        <v>283</v>
      </c>
      <c r="B139">
        <v>500</v>
      </c>
      <c r="C139">
        <v>5000</v>
      </c>
      <c r="D139">
        <v>1.61</v>
      </c>
      <c r="E139">
        <v>125</v>
      </c>
      <c r="F139">
        <v>5</v>
      </c>
      <c r="G139" t="s">
        <v>276</v>
      </c>
      <c r="H139">
        <v>3.11</v>
      </c>
      <c r="I139">
        <v>-0.56999999999999995</v>
      </c>
      <c r="J139">
        <v>16.02</v>
      </c>
      <c r="K139">
        <v>0.94</v>
      </c>
      <c r="L139">
        <v>1.29</v>
      </c>
      <c r="M139">
        <v>6</v>
      </c>
      <c r="N139" t="s">
        <v>277</v>
      </c>
      <c r="O139">
        <v>3</v>
      </c>
      <c r="P139" t="s">
        <v>32</v>
      </c>
      <c r="Q139" t="s">
        <v>46</v>
      </c>
      <c r="R139">
        <v>0.1</v>
      </c>
      <c r="S139">
        <v>25.2</v>
      </c>
      <c r="T139">
        <v>10.199999999999999</v>
      </c>
    </row>
    <row r="140" spans="1:20" x14ac:dyDescent="0.3">
      <c r="A140" t="s">
        <v>284</v>
      </c>
      <c r="B140">
        <v>500</v>
      </c>
      <c r="C140">
        <v>5000</v>
      </c>
      <c r="D140">
        <v>0.26</v>
      </c>
      <c r="E140">
        <v>42</v>
      </c>
      <c r="F140">
        <v>10</v>
      </c>
      <c r="G140" t="s">
        <v>285</v>
      </c>
      <c r="H140">
        <v>0.82</v>
      </c>
      <c r="I140">
        <v>-0.02</v>
      </c>
      <c r="J140">
        <v>16.54</v>
      </c>
      <c r="K140">
        <v>1</v>
      </c>
      <c r="L140">
        <v>0.42</v>
      </c>
      <c r="M140">
        <v>5</v>
      </c>
      <c r="N140" t="s">
        <v>277</v>
      </c>
      <c r="O140">
        <v>3</v>
      </c>
      <c r="P140" t="s">
        <v>23</v>
      </c>
      <c r="Q140" t="s">
        <v>24</v>
      </c>
      <c r="R140">
        <v>15</v>
      </c>
      <c r="S140">
        <v>12.1</v>
      </c>
      <c r="T140">
        <v>12.9</v>
      </c>
    </row>
    <row r="141" spans="1:20" x14ac:dyDescent="0.3">
      <c r="A141" t="s">
        <v>286</v>
      </c>
      <c r="B141">
        <v>500</v>
      </c>
      <c r="C141">
        <v>5000</v>
      </c>
      <c r="D141">
        <v>1.24</v>
      </c>
      <c r="E141">
        <v>49</v>
      </c>
      <c r="F141">
        <v>4</v>
      </c>
      <c r="G141" t="s">
        <v>276</v>
      </c>
      <c r="H141">
        <v>1.57</v>
      </c>
      <c r="I141">
        <v>-3.1</v>
      </c>
      <c r="J141">
        <v>20.52</v>
      </c>
      <c r="K141">
        <v>0.95</v>
      </c>
      <c r="L141">
        <v>0.71</v>
      </c>
      <c r="M141">
        <v>6</v>
      </c>
      <c r="N141" t="s">
        <v>277</v>
      </c>
      <c r="O141">
        <v>0</v>
      </c>
      <c r="P141" t="s">
        <v>32</v>
      </c>
      <c r="Q141" t="s">
        <v>33</v>
      </c>
      <c r="R141">
        <v>-13</v>
      </c>
      <c r="S141">
        <v>17.100000000000001</v>
      </c>
    </row>
    <row r="142" spans="1:20" x14ac:dyDescent="0.3">
      <c r="A142" t="s">
        <v>287</v>
      </c>
      <c r="B142">
        <v>500</v>
      </c>
      <c r="C142">
        <v>5000</v>
      </c>
      <c r="D142">
        <v>1.67</v>
      </c>
      <c r="E142">
        <v>171</v>
      </c>
      <c r="F142">
        <v>6</v>
      </c>
      <c r="G142" t="s">
        <v>276</v>
      </c>
      <c r="H142">
        <v>2.66</v>
      </c>
      <c r="I142">
        <v>-0.86</v>
      </c>
      <c r="J142">
        <v>11.4</v>
      </c>
      <c r="K142">
        <v>0.78</v>
      </c>
      <c r="L142">
        <v>1.18</v>
      </c>
      <c r="M142">
        <v>6</v>
      </c>
      <c r="N142" t="s">
        <v>277</v>
      </c>
      <c r="O142">
        <v>2</v>
      </c>
      <c r="P142" t="s">
        <v>27</v>
      </c>
      <c r="Q142" t="s">
        <v>42</v>
      </c>
      <c r="R142">
        <v>-1.8</v>
      </c>
      <c r="S142">
        <v>17.5</v>
      </c>
      <c r="T142">
        <v>7</v>
      </c>
    </row>
    <row r="143" spans="1:20" x14ac:dyDescent="0.3">
      <c r="A143" t="s">
        <v>288</v>
      </c>
      <c r="B143">
        <v>500</v>
      </c>
      <c r="C143">
        <v>5000</v>
      </c>
      <c r="D143">
        <v>1.26</v>
      </c>
      <c r="E143">
        <v>599</v>
      </c>
      <c r="F143">
        <v>10</v>
      </c>
      <c r="G143" t="s">
        <v>276</v>
      </c>
      <c r="H143">
        <v>2.94</v>
      </c>
      <c r="I143">
        <v>0.51</v>
      </c>
      <c r="J143">
        <v>15.82</v>
      </c>
      <c r="K143">
        <v>0.93</v>
      </c>
      <c r="L143">
        <v>1.36</v>
      </c>
      <c r="M143">
        <v>6</v>
      </c>
      <c r="N143" t="s">
        <v>277</v>
      </c>
      <c r="O143">
        <v>4</v>
      </c>
      <c r="P143" t="s">
        <v>32</v>
      </c>
      <c r="Q143" t="s">
        <v>47</v>
      </c>
      <c r="R143">
        <v>0.5</v>
      </c>
      <c r="S143">
        <v>26</v>
      </c>
      <c r="T143">
        <v>12.4</v>
      </c>
    </row>
    <row r="144" spans="1:20" x14ac:dyDescent="0.3">
      <c r="A144" t="s">
        <v>289</v>
      </c>
      <c r="B144">
        <v>500</v>
      </c>
      <c r="C144">
        <v>5000</v>
      </c>
      <c r="D144">
        <v>0.13</v>
      </c>
      <c r="E144">
        <v>763</v>
      </c>
      <c r="F144">
        <v>10</v>
      </c>
      <c r="G144" t="s">
        <v>279</v>
      </c>
      <c r="H144">
        <v>5.73</v>
      </c>
      <c r="I144">
        <v>1.43</v>
      </c>
      <c r="J144">
        <v>0.36</v>
      </c>
      <c r="K144">
        <v>0.75</v>
      </c>
      <c r="L144">
        <v>1.19</v>
      </c>
      <c r="M144">
        <v>2</v>
      </c>
      <c r="N144" t="s">
        <v>277</v>
      </c>
      <c r="O144">
        <v>4</v>
      </c>
      <c r="P144" t="s">
        <v>34</v>
      </c>
      <c r="Q144" t="s">
        <v>51</v>
      </c>
      <c r="R144">
        <v>5.6</v>
      </c>
      <c r="S144">
        <v>4.4000000000000004</v>
      </c>
      <c r="T144">
        <v>5.4</v>
      </c>
    </row>
    <row r="145" spans="1:20" x14ac:dyDescent="0.3">
      <c r="A145" t="s">
        <v>290</v>
      </c>
      <c r="B145">
        <v>500</v>
      </c>
      <c r="C145">
        <v>5000</v>
      </c>
      <c r="D145">
        <v>1.67</v>
      </c>
      <c r="E145">
        <v>92</v>
      </c>
      <c r="F145">
        <v>5</v>
      </c>
      <c r="G145" t="s">
        <v>276</v>
      </c>
      <c r="H145">
        <v>2.89</v>
      </c>
      <c r="I145">
        <v>1.21</v>
      </c>
      <c r="J145">
        <v>16.510000000000002</v>
      </c>
      <c r="K145">
        <v>0.94</v>
      </c>
      <c r="L145">
        <v>1.36</v>
      </c>
      <c r="M145">
        <v>6</v>
      </c>
      <c r="N145" t="s">
        <v>277</v>
      </c>
      <c r="O145">
        <v>2</v>
      </c>
      <c r="P145" t="s">
        <v>32</v>
      </c>
      <c r="Q145" t="s">
        <v>58</v>
      </c>
      <c r="R145">
        <v>-0.1</v>
      </c>
      <c r="S145">
        <v>25.4</v>
      </c>
    </row>
    <row r="146" spans="1:20" x14ac:dyDescent="0.3">
      <c r="A146" t="s">
        <v>291</v>
      </c>
      <c r="B146">
        <v>500</v>
      </c>
      <c r="C146">
        <v>5000</v>
      </c>
      <c r="D146">
        <v>1.62</v>
      </c>
      <c r="E146">
        <v>176</v>
      </c>
      <c r="F146">
        <v>6</v>
      </c>
      <c r="G146" t="s">
        <v>276</v>
      </c>
      <c r="H146">
        <v>2.57</v>
      </c>
      <c r="I146">
        <v>-5.96</v>
      </c>
      <c r="J146">
        <v>17.760000000000002</v>
      </c>
      <c r="K146">
        <v>0.97</v>
      </c>
      <c r="L146">
        <v>1.27</v>
      </c>
      <c r="M146">
        <v>6</v>
      </c>
      <c r="N146" t="s">
        <v>277</v>
      </c>
      <c r="O146">
        <v>1</v>
      </c>
      <c r="P146" t="s">
        <v>32</v>
      </c>
      <c r="Q146" t="s">
        <v>54</v>
      </c>
      <c r="R146">
        <v>-2.9</v>
      </c>
      <c r="S146">
        <v>25.1</v>
      </c>
      <c r="T146">
        <v>7.7</v>
      </c>
    </row>
    <row r="147" spans="1:20" x14ac:dyDescent="0.3">
      <c r="A147" t="s">
        <v>292</v>
      </c>
      <c r="B147">
        <v>500</v>
      </c>
      <c r="C147">
        <v>5000</v>
      </c>
      <c r="D147">
        <v>0.32</v>
      </c>
      <c r="E147">
        <v>188</v>
      </c>
      <c r="F147">
        <v>10</v>
      </c>
      <c r="G147" t="s">
        <v>293</v>
      </c>
      <c r="H147">
        <v>3.47</v>
      </c>
      <c r="I147">
        <v>-0.9</v>
      </c>
      <c r="J147">
        <v>16.78</v>
      </c>
      <c r="K147">
        <v>1</v>
      </c>
      <c r="L147">
        <v>1.29</v>
      </c>
      <c r="M147">
        <v>6</v>
      </c>
      <c r="N147" t="s">
        <v>277</v>
      </c>
      <c r="O147">
        <v>3</v>
      </c>
      <c r="P147" t="s">
        <v>23</v>
      </c>
      <c r="Q147" t="s">
        <v>56</v>
      </c>
      <c r="R147">
        <v>0.8</v>
      </c>
      <c r="S147">
        <v>25.8</v>
      </c>
      <c r="T147">
        <v>11.8</v>
      </c>
    </row>
    <row r="148" spans="1:20" x14ac:dyDescent="0.3">
      <c r="A148" t="s">
        <v>294</v>
      </c>
      <c r="B148">
        <v>500</v>
      </c>
      <c r="C148">
        <v>5000</v>
      </c>
      <c r="D148">
        <v>0.32</v>
      </c>
      <c r="E148">
        <v>49</v>
      </c>
      <c r="F148">
        <v>10</v>
      </c>
      <c r="G148" t="s">
        <v>293</v>
      </c>
      <c r="H148">
        <v>1.71</v>
      </c>
      <c r="I148">
        <v>-4.78</v>
      </c>
      <c r="J148">
        <v>18.03</v>
      </c>
      <c r="K148">
        <v>0.98</v>
      </c>
      <c r="L148">
        <v>0.96</v>
      </c>
      <c r="M148">
        <v>6</v>
      </c>
      <c r="N148" t="s">
        <v>277</v>
      </c>
      <c r="O148">
        <v>1</v>
      </c>
      <c r="P148" t="s">
        <v>23</v>
      </c>
      <c r="Q148" t="s">
        <v>56</v>
      </c>
      <c r="R148">
        <v>-6.1</v>
      </c>
      <c r="S148">
        <v>21.8</v>
      </c>
      <c r="T148">
        <v>6.2</v>
      </c>
    </row>
    <row r="149" spans="1:20" x14ac:dyDescent="0.3">
      <c r="A149" t="s">
        <v>295</v>
      </c>
      <c r="B149">
        <v>500</v>
      </c>
      <c r="C149">
        <v>5000</v>
      </c>
      <c r="D149">
        <v>0.28000000000000003</v>
      </c>
      <c r="E149">
        <v>29</v>
      </c>
      <c r="F149">
        <v>10</v>
      </c>
      <c r="G149" t="s">
        <v>279</v>
      </c>
      <c r="H149">
        <v>3.22</v>
      </c>
      <c r="I149">
        <v>3.82</v>
      </c>
      <c r="J149">
        <v>5</v>
      </c>
      <c r="K149">
        <v>-0.56999999999999995</v>
      </c>
      <c r="L149">
        <v>0.92</v>
      </c>
      <c r="M149">
        <v>2</v>
      </c>
      <c r="N149" t="s">
        <v>277</v>
      </c>
      <c r="O149">
        <v>4</v>
      </c>
      <c r="P149" t="s">
        <v>34</v>
      </c>
      <c r="Q149" t="s">
        <v>62</v>
      </c>
      <c r="R149">
        <v>4.0999999999999996</v>
      </c>
      <c r="S149">
        <v>9.4</v>
      </c>
      <c r="T149">
        <v>6.9</v>
      </c>
    </row>
    <row r="150" spans="1:20" x14ac:dyDescent="0.3">
      <c r="A150" t="s">
        <v>296</v>
      </c>
      <c r="B150">
        <v>500</v>
      </c>
      <c r="C150">
        <v>5000</v>
      </c>
      <c r="D150">
        <v>1.54</v>
      </c>
      <c r="E150">
        <v>143</v>
      </c>
      <c r="F150">
        <v>6</v>
      </c>
      <c r="G150" t="s">
        <v>276</v>
      </c>
      <c r="H150">
        <v>4.09</v>
      </c>
      <c r="I150">
        <v>8.16</v>
      </c>
      <c r="J150">
        <v>16.34</v>
      </c>
      <c r="K150">
        <v>0.71</v>
      </c>
      <c r="L150">
        <v>1.95</v>
      </c>
      <c r="M150">
        <v>6</v>
      </c>
      <c r="N150" t="s">
        <v>277</v>
      </c>
      <c r="O150">
        <v>3</v>
      </c>
      <c r="P150" t="s">
        <v>32</v>
      </c>
      <c r="Q150" t="s">
        <v>63</v>
      </c>
      <c r="R150">
        <v>2.1</v>
      </c>
      <c r="S150">
        <v>38.5</v>
      </c>
      <c r="T150">
        <v>12.6</v>
      </c>
    </row>
    <row r="151" spans="1:20" x14ac:dyDescent="0.3">
      <c r="A151" t="s">
        <v>297</v>
      </c>
      <c r="B151">
        <v>500</v>
      </c>
      <c r="C151">
        <v>5000</v>
      </c>
      <c r="D151">
        <v>0.25</v>
      </c>
      <c r="E151">
        <v>198</v>
      </c>
      <c r="F151">
        <v>10</v>
      </c>
      <c r="G151" t="s">
        <v>279</v>
      </c>
      <c r="H151">
        <v>1.68</v>
      </c>
      <c r="I151">
        <v>1.1399999999999999</v>
      </c>
      <c r="J151">
        <v>0.72</v>
      </c>
      <c r="K151">
        <v>0.15</v>
      </c>
      <c r="L151">
        <v>1.29</v>
      </c>
      <c r="M151">
        <v>2</v>
      </c>
      <c r="N151" t="s">
        <v>277</v>
      </c>
      <c r="O151">
        <v>3</v>
      </c>
      <c r="P151" t="s">
        <v>34</v>
      </c>
      <c r="Q151" t="s">
        <v>61</v>
      </c>
      <c r="R151">
        <v>5.4</v>
      </c>
      <c r="S151">
        <v>5.0999999999999996</v>
      </c>
      <c r="T151">
        <v>5.9</v>
      </c>
    </row>
    <row r="152" spans="1:20" x14ac:dyDescent="0.3">
      <c r="A152" t="s">
        <v>298</v>
      </c>
      <c r="B152">
        <v>1000</v>
      </c>
      <c r="C152">
        <v>10000</v>
      </c>
      <c r="D152">
        <v>0.27</v>
      </c>
      <c r="E152">
        <v>494</v>
      </c>
      <c r="F152">
        <v>10</v>
      </c>
      <c r="G152" t="s">
        <v>299</v>
      </c>
      <c r="H152">
        <v>1.63</v>
      </c>
      <c r="I152">
        <v>1.61</v>
      </c>
      <c r="J152">
        <v>1.86</v>
      </c>
      <c r="K152">
        <v>0.6</v>
      </c>
      <c r="L152">
        <v>0.96</v>
      </c>
      <c r="M152">
        <v>3</v>
      </c>
      <c r="N152" t="s">
        <v>300</v>
      </c>
      <c r="O152">
        <v>4</v>
      </c>
      <c r="P152" t="s">
        <v>34</v>
      </c>
      <c r="Q152" t="s">
        <v>40</v>
      </c>
      <c r="R152">
        <v>3.3</v>
      </c>
      <c r="S152">
        <v>6</v>
      </c>
      <c r="T152">
        <v>6.5</v>
      </c>
    </row>
    <row r="153" spans="1:20" x14ac:dyDescent="0.3">
      <c r="A153" t="s">
        <v>301</v>
      </c>
      <c r="B153">
        <v>1000</v>
      </c>
      <c r="C153">
        <v>1000</v>
      </c>
      <c r="D153">
        <v>0.9</v>
      </c>
      <c r="E153">
        <v>3416</v>
      </c>
      <c r="F153">
        <v>8</v>
      </c>
      <c r="G153" t="s">
        <v>302</v>
      </c>
      <c r="H153">
        <v>3.39</v>
      </c>
      <c r="I153">
        <v>3.78</v>
      </c>
      <c r="J153">
        <v>16.2</v>
      </c>
      <c r="K153">
        <v>0.91</v>
      </c>
      <c r="L153">
        <v>1.56</v>
      </c>
      <c r="M153">
        <v>6</v>
      </c>
      <c r="N153" t="s">
        <v>300</v>
      </c>
      <c r="O153">
        <v>5</v>
      </c>
      <c r="P153" t="s">
        <v>32</v>
      </c>
      <c r="Q153" t="s">
        <v>46</v>
      </c>
      <c r="R153">
        <v>4.7</v>
      </c>
      <c r="S153">
        <v>29.2</v>
      </c>
      <c r="T153">
        <v>18.100000000000001</v>
      </c>
    </row>
    <row r="154" spans="1:20" x14ac:dyDescent="0.3">
      <c r="A154" t="s">
        <v>303</v>
      </c>
      <c r="B154">
        <v>1000</v>
      </c>
      <c r="C154">
        <v>5000</v>
      </c>
      <c r="D154">
        <v>0.2</v>
      </c>
      <c r="E154">
        <v>601</v>
      </c>
      <c r="F154">
        <v>9</v>
      </c>
      <c r="G154" t="s">
        <v>299</v>
      </c>
      <c r="H154">
        <v>0.19</v>
      </c>
      <c r="I154">
        <v>0.87</v>
      </c>
      <c r="J154">
        <v>0.39</v>
      </c>
      <c r="K154">
        <v>0.64</v>
      </c>
      <c r="L154">
        <v>0.04</v>
      </c>
      <c r="M154">
        <v>3</v>
      </c>
      <c r="N154" t="s">
        <v>300</v>
      </c>
      <c r="O154">
        <v>2</v>
      </c>
      <c r="P154" t="s">
        <v>34</v>
      </c>
      <c r="Q154" t="s">
        <v>51</v>
      </c>
      <c r="R154">
        <v>5.5</v>
      </c>
      <c r="S154">
        <v>3.9</v>
      </c>
      <c r="T154">
        <v>4.8</v>
      </c>
    </row>
    <row r="155" spans="1:20" x14ac:dyDescent="0.3">
      <c r="A155" t="s">
        <v>304</v>
      </c>
      <c r="B155">
        <v>1000</v>
      </c>
      <c r="C155">
        <v>500</v>
      </c>
      <c r="D155">
        <v>0.57999999999999996</v>
      </c>
      <c r="E155">
        <v>14</v>
      </c>
      <c r="F155">
        <v>8</v>
      </c>
      <c r="G155" t="s">
        <v>305</v>
      </c>
      <c r="H155">
        <v>-1.04</v>
      </c>
      <c r="I155">
        <v>0.18</v>
      </c>
      <c r="J155">
        <v>0.67</v>
      </c>
      <c r="K155">
        <v>0.54</v>
      </c>
      <c r="L155">
        <v>-0.82</v>
      </c>
      <c r="M155">
        <v>1</v>
      </c>
      <c r="N155" t="s">
        <v>306</v>
      </c>
      <c r="O155">
        <v>2</v>
      </c>
      <c r="P155" t="s">
        <v>27</v>
      </c>
      <c r="Q155" t="s">
        <v>28</v>
      </c>
      <c r="R155">
        <v>4.3</v>
      </c>
      <c r="S155">
        <v>3.3</v>
      </c>
      <c r="T155">
        <v>4.5</v>
      </c>
    </row>
    <row r="156" spans="1:20" x14ac:dyDescent="0.3">
      <c r="A156" t="s">
        <v>307</v>
      </c>
      <c r="B156">
        <v>500</v>
      </c>
      <c r="C156">
        <v>500</v>
      </c>
      <c r="D156">
        <v>1.27</v>
      </c>
      <c r="E156">
        <v>91</v>
      </c>
      <c r="F156">
        <v>10</v>
      </c>
      <c r="G156" t="s">
        <v>305</v>
      </c>
      <c r="H156">
        <v>2.23</v>
      </c>
      <c r="I156">
        <v>-3.4</v>
      </c>
      <c r="J156">
        <v>16.22</v>
      </c>
      <c r="K156">
        <v>0.94</v>
      </c>
      <c r="L156">
        <v>1.1000000000000001</v>
      </c>
      <c r="M156">
        <v>6</v>
      </c>
      <c r="N156" t="s">
        <v>306</v>
      </c>
      <c r="O156">
        <v>2</v>
      </c>
      <c r="P156" t="s">
        <v>32</v>
      </c>
      <c r="Q156" t="s">
        <v>47</v>
      </c>
      <c r="R156">
        <v>2</v>
      </c>
      <c r="S156">
        <v>21.3</v>
      </c>
      <c r="T156">
        <v>9.5</v>
      </c>
    </row>
    <row r="157" spans="1:20" x14ac:dyDescent="0.3">
      <c r="A157" t="s">
        <v>308</v>
      </c>
      <c r="B157">
        <v>500</v>
      </c>
      <c r="C157">
        <v>500</v>
      </c>
      <c r="D157">
        <v>0.36</v>
      </c>
      <c r="E157">
        <v>25</v>
      </c>
      <c r="F157">
        <v>4</v>
      </c>
      <c r="G157" t="s">
        <v>309</v>
      </c>
      <c r="H157">
        <v>0.99</v>
      </c>
      <c r="I157">
        <v>0.95</v>
      </c>
      <c r="J157">
        <v>2.04</v>
      </c>
      <c r="K157">
        <v>0.84</v>
      </c>
      <c r="L157">
        <v>0.57999999999999996</v>
      </c>
      <c r="M157">
        <v>3</v>
      </c>
      <c r="N157" t="s">
        <v>306</v>
      </c>
      <c r="O157">
        <v>3</v>
      </c>
      <c r="P157" t="s">
        <v>34</v>
      </c>
      <c r="Q157" t="s">
        <v>40</v>
      </c>
      <c r="R157">
        <v>4.2</v>
      </c>
      <c r="S157">
        <v>5.2</v>
      </c>
    </row>
    <row r="158" spans="1:20" x14ac:dyDescent="0.3">
      <c r="A158" t="s">
        <v>310</v>
      </c>
      <c r="B158">
        <v>500</v>
      </c>
      <c r="C158">
        <v>500</v>
      </c>
      <c r="D158">
        <v>1.55</v>
      </c>
      <c r="E158">
        <v>32</v>
      </c>
      <c r="F158">
        <v>4</v>
      </c>
      <c r="G158" t="s">
        <v>305</v>
      </c>
      <c r="H158">
        <v>2.77</v>
      </c>
      <c r="I158">
        <v>0.47</v>
      </c>
      <c r="J158">
        <v>12.71</v>
      </c>
      <c r="K158">
        <v>0.87</v>
      </c>
      <c r="L158">
        <v>1.29</v>
      </c>
      <c r="M158">
        <v>5</v>
      </c>
      <c r="N158" t="s">
        <v>306</v>
      </c>
      <c r="O158">
        <v>3</v>
      </c>
      <c r="P158" t="s">
        <v>27</v>
      </c>
      <c r="Q158" t="s">
        <v>42</v>
      </c>
      <c r="R158">
        <v>3.2</v>
      </c>
      <c r="S158">
        <v>20.5</v>
      </c>
    </row>
    <row r="159" spans="1:20" x14ac:dyDescent="0.3">
      <c r="A159" t="s">
        <v>311</v>
      </c>
      <c r="B159">
        <v>500</v>
      </c>
      <c r="C159">
        <v>500</v>
      </c>
      <c r="D159">
        <v>0.22</v>
      </c>
      <c r="E159">
        <v>212</v>
      </c>
      <c r="F159">
        <v>10</v>
      </c>
      <c r="G159" t="s">
        <v>309</v>
      </c>
      <c r="H159">
        <v>1.28</v>
      </c>
      <c r="I159">
        <v>0.95</v>
      </c>
      <c r="J159">
        <v>0.36</v>
      </c>
      <c r="K159">
        <v>0.63</v>
      </c>
      <c r="L159">
        <v>0.28000000000000003</v>
      </c>
      <c r="M159">
        <v>2</v>
      </c>
      <c r="N159" t="s">
        <v>306</v>
      </c>
      <c r="O159">
        <v>1</v>
      </c>
      <c r="P159" t="s">
        <v>34</v>
      </c>
      <c r="Q159" t="s">
        <v>51</v>
      </c>
      <c r="R159">
        <v>5.4</v>
      </c>
      <c r="S159">
        <v>4</v>
      </c>
      <c r="T159">
        <v>5.2</v>
      </c>
    </row>
    <row r="160" spans="1:20" x14ac:dyDescent="0.3">
      <c r="A160" t="s">
        <v>312</v>
      </c>
      <c r="B160">
        <v>500</v>
      </c>
      <c r="C160">
        <v>500</v>
      </c>
      <c r="D160">
        <v>0.18</v>
      </c>
      <c r="E160">
        <v>42</v>
      </c>
      <c r="F160">
        <v>4</v>
      </c>
      <c r="G160" t="s">
        <v>309</v>
      </c>
      <c r="H160">
        <v>-1.77</v>
      </c>
      <c r="I160">
        <v>0.4</v>
      </c>
      <c r="J160">
        <v>0.33</v>
      </c>
      <c r="K160">
        <v>0.39</v>
      </c>
      <c r="L160">
        <v>-0.36</v>
      </c>
      <c r="M160">
        <v>1</v>
      </c>
      <c r="N160" t="s">
        <v>306</v>
      </c>
      <c r="O160">
        <v>1</v>
      </c>
      <c r="P160" t="s">
        <v>34</v>
      </c>
      <c r="Q160" t="s">
        <v>57</v>
      </c>
      <c r="R160">
        <v>5.2</v>
      </c>
      <c r="S160">
        <v>3.8</v>
      </c>
    </row>
    <row r="161" spans="1:20" x14ac:dyDescent="0.3">
      <c r="A161" t="s">
        <v>313</v>
      </c>
      <c r="B161">
        <v>500</v>
      </c>
      <c r="C161">
        <v>500</v>
      </c>
      <c r="D161">
        <v>0.38</v>
      </c>
      <c r="E161">
        <v>25</v>
      </c>
      <c r="F161">
        <v>10</v>
      </c>
      <c r="G161" t="s">
        <v>309</v>
      </c>
      <c r="H161">
        <v>1.1499999999999999</v>
      </c>
      <c r="I161">
        <v>4.88</v>
      </c>
      <c r="J161">
        <v>1.55</v>
      </c>
      <c r="K161">
        <v>2.83</v>
      </c>
      <c r="L161">
        <v>0.7</v>
      </c>
      <c r="M161">
        <v>3</v>
      </c>
      <c r="N161" t="s">
        <v>306</v>
      </c>
      <c r="O161">
        <v>2</v>
      </c>
      <c r="P161" t="s">
        <v>34</v>
      </c>
      <c r="Q161" t="s">
        <v>62</v>
      </c>
      <c r="R161">
        <v>4.4000000000000004</v>
      </c>
      <c r="S161">
        <v>5.0999999999999996</v>
      </c>
      <c r="T161">
        <v>5.9</v>
      </c>
    </row>
    <row r="162" spans="1:20" x14ac:dyDescent="0.3">
      <c r="A162" t="s">
        <v>314</v>
      </c>
      <c r="B162">
        <v>500</v>
      </c>
      <c r="C162">
        <v>500</v>
      </c>
      <c r="D162">
        <v>0.5</v>
      </c>
      <c r="E162">
        <v>36</v>
      </c>
      <c r="F162">
        <v>5</v>
      </c>
      <c r="G162" t="s">
        <v>305</v>
      </c>
      <c r="H162">
        <v>2.52</v>
      </c>
      <c r="I162">
        <v>-2.36</v>
      </c>
      <c r="J162">
        <v>15.09</v>
      </c>
      <c r="K162">
        <v>0.88</v>
      </c>
      <c r="L162">
        <v>1.21</v>
      </c>
      <c r="M162">
        <v>6</v>
      </c>
      <c r="N162" t="s">
        <v>306</v>
      </c>
      <c r="O162">
        <v>2</v>
      </c>
      <c r="P162" t="s">
        <v>32</v>
      </c>
      <c r="Q162" t="s">
        <v>64</v>
      </c>
      <c r="R162">
        <v>1</v>
      </c>
      <c r="S162">
        <v>22.3</v>
      </c>
      <c r="T162">
        <v>7.8</v>
      </c>
    </row>
    <row r="163" spans="1:20" x14ac:dyDescent="0.3">
      <c r="A163" t="s">
        <v>315</v>
      </c>
      <c r="B163">
        <v>500</v>
      </c>
      <c r="C163">
        <v>500</v>
      </c>
      <c r="D163">
        <v>0.5</v>
      </c>
      <c r="E163">
        <v>9.7100000000000009</v>
      </c>
      <c r="F163">
        <v>8</v>
      </c>
      <c r="G163" t="s">
        <v>305</v>
      </c>
      <c r="H163">
        <v>2.9</v>
      </c>
      <c r="I163">
        <v>-0.23</v>
      </c>
      <c r="J163">
        <v>16.23</v>
      </c>
      <c r="K163">
        <v>0.92</v>
      </c>
      <c r="L163">
        <v>1.27</v>
      </c>
      <c r="M163">
        <v>6</v>
      </c>
      <c r="N163" t="s">
        <v>306</v>
      </c>
      <c r="O163">
        <v>2</v>
      </c>
      <c r="P163" t="s">
        <v>32</v>
      </c>
      <c r="Q163" t="s">
        <v>58</v>
      </c>
      <c r="R163">
        <v>-0.2</v>
      </c>
      <c r="S163">
        <v>25.6</v>
      </c>
      <c r="T163">
        <v>6.3</v>
      </c>
    </row>
    <row r="164" spans="1:20" x14ac:dyDescent="0.3">
      <c r="A164" t="s">
        <v>316</v>
      </c>
      <c r="B164">
        <v>500</v>
      </c>
      <c r="C164">
        <v>1000</v>
      </c>
      <c r="D164">
        <v>0.73</v>
      </c>
      <c r="E164">
        <v>12</v>
      </c>
      <c r="F164">
        <v>9</v>
      </c>
      <c r="G164" t="s">
        <v>317</v>
      </c>
      <c r="H164">
        <v>1.58</v>
      </c>
      <c r="I164" t="s">
        <v>36</v>
      </c>
      <c r="J164">
        <v>17.739999999999998</v>
      </c>
      <c r="K164" t="s">
        <v>36</v>
      </c>
      <c r="L164">
        <v>1.01</v>
      </c>
      <c r="M164">
        <v>6</v>
      </c>
      <c r="N164" t="s">
        <v>318</v>
      </c>
      <c r="O164">
        <v>0</v>
      </c>
      <c r="P164" t="s">
        <v>23</v>
      </c>
      <c r="Q164" t="s">
        <v>48</v>
      </c>
      <c r="R164">
        <v>9.5</v>
      </c>
      <c r="S164">
        <v>24.4</v>
      </c>
      <c r="T164">
        <v>9.5</v>
      </c>
    </row>
    <row r="165" spans="1:20" x14ac:dyDescent="0.3">
      <c r="A165" t="s">
        <v>319</v>
      </c>
      <c r="B165">
        <v>500</v>
      </c>
      <c r="C165">
        <v>1000</v>
      </c>
      <c r="D165">
        <v>0.38</v>
      </c>
      <c r="E165">
        <v>3184</v>
      </c>
      <c r="F165">
        <v>10</v>
      </c>
      <c r="G165" t="s">
        <v>320</v>
      </c>
      <c r="H165">
        <v>2.16</v>
      </c>
      <c r="I165">
        <v>1.77</v>
      </c>
      <c r="J165">
        <v>0.71</v>
      </c>
      <c r="K165">
        <v>0.53</v>
      </c>
      <c r="L165">
        <v>1.5</v>
      </c>
      <c r="M165">
        <v>1</v>
      </c>
      <c r="N165" t="s">
        <v>318</v>
      </c>
      <c r="O165">
        <v>5</v>
      </c>
      <c r="P165" t="s">
        <v>27</v>
      </c>
      <c r="Q165" t="s">
        <v>28</v>
      </c>
      <c r="R165">
        <v>6.4</v>
      </c>
      <c r="S165">
        <v>5</v>
      </c>
      <c r="T165">
        <v>5.6</v>
      </c>
    </row>
    <row r="166" spans="1:20" x14ac:dyDescent="0.3">
      <c r="A166" t="s">
        <v>321</v>
      </c>
      <c r="B166">
        <v>1000</v>
      </c>
      <c r="C166">
        <v>1000</v>
      </c>
      <c r="D166">
        <v>0.28000000000000003</v>
      </c>
      <c r="E166">
        <v>131</v>
      </c>
      <c r="F166">
        <v>10</v>
      </c>
      <c r="G166" t="s">
        <v>322</v>
      </c>
      <c r="H166">
        <v>0.33</v>
      </c>
      <c r="I166">
        <v>4.59</v>
      </c>
      <c r="J166">
        <v>3.47</v>
      </c>
      <c r="K166">
        <v>2.79</v>
      </c>
      <c r="L166">
        <v>0.25</v>
      </c>
      <c r="M166">
        <v>3</v>
      </c>
      <c r="N166" t="s">
        <v>318</v>
      </c>
      <c r="O166">
        <v>1</v>
      </c>
      <c r="P166" t="s">
        <v>34</v>
      </c>
      <c r="Q166" t="s">
        <v>35</v>
      </c>
      <c r="R166">
        <v>2.2999999999999998</v>
      </c>
      <c r="S166">
        <v>5.8</v>
      </c>
      <c r="T166">
        <v>6.4</v>
      </c>
    </row>
    <row r="167" spans="1:20" x14ac:dyDescent="0.3">
      <c r="A167" t="s">
        <v>323</v>
      </c>
      <c r="B167">
        <v>500</v>
      </c>
      <c r="C167">
        <v>1000</v>
      </c>
      <c r="D167">
        <v>0.62</v>
      </c>
      <c r="E167">
        <v>9347</v>
      </c>
      <c r="F167">
        <v>10</v>
      </c>
      <c r="G167" t="s">
        <v>324</v>
      </c>
      <c r="H167">
        <v>3.5</v>
      </c>
      <c r="I167">
        <v>2.27</v>
      </c>
      <c r="J167">
        <v>16.239999999999998</v>
      </c>
      <c r="K167">
        <v>0.94</v>
      </c>
      <c r="L167">
        <v>1.45</v>
      </c>
      <c r="M167">
        <v>6</v>
      </c>
      <c r="N167" t="s">
        <v>318</v>
      </c>
      <c r="O167">
        <v>4</v>
      </c>
      <c r="P167" t="s">
        <v>32</v>
      </c>
      <c r="Q167" t="s">
        <v>325</v>
      </c>
      <c r="R167">
        <v>2.8</v>
      </c>
      <c r="S167">
        <v>27.6</v>
      </c>
      <c r="T167">
        <v>12.3</v>
      </c>
    </row>
    <row r="168" spans="1:20" x14ac:dyDescent="0.3">
      <c r="A168" t="s">
        <v>326</v>
      </c>
      <c r="B168">
        <v>100</v>
      </c>
      <c r="C168">
        <v>1000</v>
      </c>
      <c r="D168">
        <v>0.28000000000000003</v>
      </c>
      <c r="E168">
        <v>2065</v>
      </c>
      <c r="F168">
        <v>10</v>
      </c>
      <c r="G168" t="s">
        <v>322</v>
      </c>
      <c r="H168">
        <v>1.56</v>
      </c>
      <c r="I168">
        <v>1.51</v>
      </c>
      <c r="J168">
        <v>1.86</v>
      </c>
      <c r="K168">
        <v>0.67</v>
      </c>
      <c r="L168">
        <v>0.91</v>
      </c>
      <c r="M168">
        <v>2</v>
      </c>
      <c r="N168" t="s">
        <v>318</v>
      </c>
      <c r="O168">
        <v>3</v>
      </c>
      <c r="P168" t="s">
        <v>34</v>
      </c>
      <c r="Q168" t="s">
        <v>37</v>
      </c>
      <c r="R168">
        <v>3.7</v>
      </c>
      <c r="S168">
        <v>6.4</v>
      </c>
      <c r="T168">
        <v>6.9</v>
      </c>
    </row>
    <row r="169" spans="1:20" x14ac:dyDescent="0.3">
      <c r="A169" t="s">
        <v>327</v>
      </c>
      <c r="B169">
        <v>1000</v>
      </c>
      <c r="C169">
        <v>1000</v>
      </c>
      <c r="D169">
        <v>0.28000000000000003</v>
      </c>
      <c r="E169">
        <v>129</v>
      </c>
      <c r="F169">
        <v>9</v>
      </c>
      <c r="G169" t="s">
        <v>322</v>
      </c>
      <c r="H169">
        <v>2.95</v>
      </c>
      <c r="I169">
        <v>9.17</v>
      </c>
      <c r="J169">
        <v>2.89</v>
      </c>
      <c r="K169">
        <v>4.76</v>
      </c>
      <c r="L169">
        <v>0.97</v>
      </c>
      <c r="M169">
        <v>2</v>
      </c>
      <c r="N169" t="s">
        <v>318</v>
      </c>
      <c r="O169">
        <v>2</v>
      </c>
      <c r="P169" t="s">
        <v>34</v>
      </c>
      <c r="Q169" t="s">
        <v>38</v>
      </c>
      <c r="R169">
        <v>4.4000000000000004</v>
      </c>
      <c r="S169">
        <v>6</v>
      </c>
      <c r="T169">
        <v>3.5</v>
      </c>
    </row>
    <row r="170" spans="1:20" x14ac:dyDescent="0.3">
      <c r="A170" t="s">
        <v>328</v>
      </c>
      <c r="B170">
        <v>500</v>
      </c>
      <c r="C170">
        <v>1000</v>
      </c>
      <c r="D170">
        <v>0.95</v>
      </c>
      <c r="E170">
        <v>612</v>
      </c>
      <c r="F170">
        <v>10</v>
      </c>
      <c r="G170" t="s">
        <v>329</v>
      </c>
      <c r="H170">
        <v>2.84</v>
      </c>
      <c r="I170">
        <v>0.76</v>
      </c>
      <c r="J170">
        <v>9.1999999999999993</v>
      </c>
      <c r="K170">
        <v>0.59</v>
      </c>
      <c r="L170">
        <v>1.27</v>
      </c>
      <c r="M170">
        <v>6</v>
      </c>
      <c r="N170" t="s">
        <v>318</v>
      </c>
      <c r="O170">
        <v>2</v>
      </c>
      <c r="P170" t="s">
        <v>27</v>
      </c>
      <c r="Q170" t="s">
        <v>31</v>
      </c>
      <c r="R170">
        <v>3.9</v>
      </c>
      <c r="S170">
        <v>15.4</v>
      </c>
      <c r="T170">
        <v>7.4</v>
      </c>
    </row>
    <row r="171" spans="1:20" x14ac:dyDescent="0.3">
      <c r="A171" t="s">
        <v>330</v>
      </c>
      <c r="B171">
        <v>500</v>
      </c>
      <c r="C171">
        <v>1000</v>
      </c>
      <c r="D171">
        <v>0.76</v>
      </c>
      <c r="E171">
        <v>378</v>
      </c>
      <c r="F171">
        <v>5</v>
      </c>
      <c r="G171" t="s">
        <v>331</v>
      </c>
      <c r="H171">
        <v>2.71</v>
      </c>
      <c r="I171">
        <v>1.1000000000000001</v>
      </c>
      <c r="J171">
        <v>10.94</v>
      </c>
      <c r="K171">
        <v>0.71</v>
      </c>
      <c r="L171">
        <v>1.29</v>
      </c>
      <c r="M171">
        <v>6</v>
      </c>
      <c r="N171" t="s">
        <v>318</v>
      </c>
      <c r="O171">
        <v>2</v>
      </c>
      <c r="P171" t="s">
        <v>27</v>
      </c>
      <c r="Q171" t="s">
        <v>42</v>
      </c>
      <c r="R171">
        <v>1.5</v>
      </c>
      <c r="S171">
        <v>17.399999999999999</v>
      </c>
    </row>
    <row r="172" spans="1:20" x14ac:dyDescent="0.3">
      <c r="A172" t="s">
        <v>332</v>
      </c>
      <c r="B172">
        <v>500</v>
      </c>
      <c r="C172">
        <v>1000</v>
      </c>
      <c r="D172">
        <v>0.73</v>
      </c>
      <c r="E172">
        <v>132</v>
      </c>
      <c r="F172">
        <v>4</v>
      </c>
      <c r="G172" t="s">
        <v>331</v>
      </c>
      <c r="H172">
        <v>1.9</v>
      </c>
      <c r="I172">
        <v>0.17</v>
      </c>
      <c r="J172">
        <v>5.58</v>
      </c>
      <c r="K172">
        <v>0.82</v>
      </c>
      <c r="L172">
        <v>1.08</v>
      </c>
      <c r="M172">
        <v>4</v>
      </c>
      <c r="N172" t="s">
        <v>318</v>
      </c>
      <c r="O172">
        <v>2</v>
      </c>
      <c r="P172" t="s">
        <v>27</v>
      </c>
      <c r="Q172" t="s">
        <v>43</v>
      </c>
      <c r="R172">
        <v>1.2</v>
      </c>
      <c r="S172">
        <v>9.6</v>
      </c>
    </row>
    <row r="173" spans="1:20" x14ac:dyDescent="0.3">
      <c r="A173" t="s">
        <v>333</v>
      </c>
      <c r="B173">
        <v>100</v>
      </c>
      <c r="C173">
        <v>1000</v>
      </c>
      <c r="D173">
        <v>1.08</v>
      </c>
      <c r="E173">
        <v>472</v>
      </c>
      <c r="F173">
        <v>10</v>
      </c>
      <c r="G173" t="s">
        <v>334</v>
      </c>
      <c r="H173">
        <v>2.16</v>
      </c>
      <c r="I173">
        <v>1.74</v>
      </c>
      <c r="J173">
        <v>21.36</v>
      </c>
      <c r="K173">
        <v>0.8</v>
      </c>
      <c r="L173">
        <v>1</v>
      </c>
      <c r="M173">
        <v>6</v>
      </c>
      <c r="N173" t="s">
        <v>318</v>
      </c>
      <c r="O173">
        <v>3</v>
      </c>
      <c r="P173" t="s">
        <v>32</v>
      </c>
      <c r="Q173" t="s">
        <v>33</v>
      </c>
      <c r="R173">
        <v>5.9</v>
      </c>
      <c r="S173">
        <v>22.6</v>
      </c>
      <c r="T173">
        <v>10.9</v>
      </c>
    </row>
    <row r="174" spans="1:20" x14ac:dyDescent="0.3">
      <c r="A174" t="s">
        <v>335</v>
      </c>
      <c r="B174">
        <v>100</v>
      </c>
      <c r="C174">
        <v>1000</v>
      </c>
      <c r="D174">
        <v>0.48</v>
      </c>
      <c r="E174">
        <v>22</v>
      </c>
      <c r="F174">
        <v>10</v>
      </c>
      <c r="G174" t="s">
        <v>322</v>
      </c>
      <c r="H174">
        <v>0.08</v>
      </c>
      <c r="I174">
        <v>-0.44</v>
      </c>
      <c r="J174">
        <v>2.5099999999999998</v>
      </c>
      <c r="K174">
        <v>0.54</v>
      </c>
      <c r="L174">
        <v>0.06</v>
      </c>
      <c r="M174">
        <v>2</v>
      </c>
      <c r="N174" t="s">
        <v>318</v>
      </c>
      <c r="O174">
        <v>1</v>
      </c>
      <c r="P174" t="s">
        <v>34</v>
      </c>
      <c r="Q174" t="s">
        <v>49</v>
      </c>
      <c r="R174">
        <v>4.9000000000000004</v>
      </c>
      <c r="S174">
        <v>4.2</v>
      </c>
      <c r="T174">
        <v>6.7</v>
      </c>
    </row>
    <row r="175" spans="1:20" x14ac:dyDescent="0.3">
      <c r="A175" t="s">
        <v>336</v>
      </c>
      <c r="B175">
        <v>500</v>
      </c>
      <c r="C175">
        <v>5000</v>
      </c>
      <c r="D175">
        <v>0.22</v>
      </c>
      <c r="E175">
        <v>7.04</v>
      </c>
      <c r="F175">
        <v>4</v>
      </c>
      <c r="G175" t="s">
        <v>337</v>
      </c>
      <c r="H175">
        <v>-1.02</v>
      </c>
      <c r="I175">
        <v>-0.04</v>
      </c>
      <c r="J175">
        <v>0.65</v>
      </c>
      <c r="K175">
        <v>0.31</v>
      </c>
      <c r="L175">
        <v>-0.71</v>
      </c>
      <c r="M175">
        <v>1</v>
      </c>
      <c r="N175" t="s">
        <v>338</v>
      </c>
      <c r="O175">
        <v>1</v>
      </c>
      <c r="P175" t="s">
        <v>27</v>
      </c>
      <c r="Q175" t="s">
        <v>28</v>
      </c>
      <c r="R175">
        <v>3.9</v>
      </c>
      <c r="S175">
        <v>3.3</v>
      </c>
    </row>
    <row r="176" spans="1:20" x14ac:dyDescent="0.3">
      <c r="A176" t="s">
        <v>339</v>
      </c>
      <c r="B176">
        <v>500</v>
      </c>
      <c r="C176">
        <v>5000</v>
      </c>
      <c r="D176">
        <v>0.35</v>
      </c>
      <c r="E176">
        <v>452</v>
      </c>
      <c r="F176">
        <v>3</v>
      </c>
      <c r="G176" t="s">
        <v>340</v>
      </c>
      <c r="H176">
        <v>2.56</v>
      </c>
      <c r="I176">
        <v>-0.95</v>
      </c>
      <c r="J176">
        <v>11.13</v>
      </c>
      <c r="K176">
        <v>0.59</v>
      </c>
      <c r="L176">
        <v>0.88</v>
      </c>
      <c r="M176">
        <v>6</v>
      </c>
      <c r="N176" t="s">
        <v>338</v>
      </c>
      <c r="O176">
        <v>1</v>
      </c>
      <c r="P176" t="s">
        <v>27</v>
      </c>
      <c r="Q176" t="s">
        <v>31</v>
      </c>
      <c r="R176">
        <v>-0.2</v>
      </c>
      <c r="S176">
        <v>12.3</v>
      </c>
    </row>
    <row r="177" spans="1:20" x14ac:dyDescent="0.3">
      <c r="A177" t="s">
        <v>341</v>
      </c>
      <c r="B177">
        <v>500</v>
      </c>
      <c r="C177">
        <v>5000</v>
      </c>
      <c r="D177">
        <v>0.15</v>
      </c>
      <c r="E177">
        <v>27</v>
      </c>
      <c r="F177">
        <v>2</v>
      </c>
      <c r="G177" t="s">
        <v>337</v>
      </c>
      <c r="H177" t="s">
        <v>36</v>
      </c>
      <c r="I177" t="s">
        <v>36</v>
      </c>
      <c r="J177" t="s">
        <v>36</v>
      </c>
      <c r="K177" t="s">
        <v>36</v>
      </c>
      <c r="L177" t="s">
        <v>36</v>
      </c>
      <c r="M177">
        <v>2</v>
      </c>
      <c r="N177" t="s">
        <v>338</v>
      </c>
      <c r="O177">
        <v>5</v>
      </c>
      <c r="P177" t="s">
        <v>34</v>
      </c>
      <c r="Q177" t="s">
        <v>35</v>
      </c>
      <c r="R177">
        <v>5.4</v>
      </c>
    </row>
    <row r="178" spans="1:20" x14ac:dyDescent="0.3">
      <c r="A178" t="s">
        <v>342</v>
      </c>
      <c r="B178">
        <v>500</v>
      </c>
      <c r="C178">
        <v>5000</v>
      </c>
      <c r="D178">
        <v>0.14000000000000001</v>
      </c>
      <c r="E178">
        <v>57</v>
      </c>
      <c r="F178">
        <v>2</v>
      </c>
      <c r="G178" t="s">
        <v>337</v>
      </c>
      <c r="H178" t="s">
        <v>36</v>
      </c>
      <c r="I178" t="s">
        <v>36</v>
      </c>
      <c r="J178" t="s">
        <v>36</v>
      </c>
      <c r="K178" t="s">
        <v>36</v>
      </c>
      <c r="L178" t="s">
        <v>36</v>
      </c>
      <c r="M178">
        <v>2</v>
      </c>
      <c r="N178" t="s">
        <v>338</v>
      </c>
      <c r="O178">
        <v>5</v>
      </c>
      <c r="P178" t="s">
        <v>34</v>
      </c>
      <c r="Q178" t="s">
        <v>40</v>
      </c>
      <c r="R178">
        <v>5.7</v>
      </c>
    </row>
    <row r="179" spans="1:20" x14ac:dyDescent="0.3">
      <c r="A179" t="s">
        <v>343</v>
      </c>
      <c r="B179">
        <v>500</v>
      </c>
      <c r="C179">
        <v>5000</v>
      </c>
      <c r="D179">
        <v>0.09</v>
      </c>
      <c r="E179">
        <v>31</v>
      </c>
      <c r="F179">
        <v>4</v>
      </c>
      <c r="G179" t="s">
        <v>337</v>
      </c>
      <c r="H179">
        <v>-0.02</v>
      </c>
      <c r="I179">
        <v>0.63</v>
      </c>
      <c r="J179">
        <v>0.37</v>
      </c>
      <c r="K179">
        <v>0.47</v>
      </c>
      <c r="L179">
        <v>0</v>
      </c>
      <c r="M179">
        <v>1</v>
      </c>
      <c r="N179" t="s">
        <v>338</v>
      </c>
      <c r="O179">
        <v>2</v>
      </c>
      <c r="P179" t="s">
        <v>34</v>
      </c>
      <c r="Q179" t="s">
        <v>51</v>
      </c>
      <c r="R179">
        <v>5.5</v>
      </c>
      <c r="S179">
        <v>3.9</v>
      </c>
    </row>
    <row r="180" spans="1:20" x14ac:dyDescent="0.3">
      <c r="A180" t="s">
        <v>344</v>
      </c>
      <c r="B180">
        <v>500</v>
      </c>
      <c r="C180">
        <v>500</v>
      </c>
      <c r="D180">
        <v>0.44</v>
      </c>
      <c r="E180">
        <v>156</v>
      </c>
      <c r="F180">
        <v>3</v>
      </c>
      <c r="G180" t="s">
        <v>340</v>
      </c>
      <c r="H180">
        <v>3.29</v>
      </c>
      <c r="I180">
        <v>0.26</v>
      </c>
      <c r="J180">
        <v>15.59</v>
      </c>
      <c r="K180">
        <v>0.86</v>
      </c>
      <c r="L180">
        <v>1.31</v>
      </c>
      <c r="M180">
        <v>6</v>
      </c>
      <c r="N180" t="s">
        <v>338</v>
      </c>
      <c r="O180">
        <v>2</v>
      </c>
      <c r="P180" t="s">
        <v>32</v>
      </c>
      <c r="Q180" t="s">
        <v>64</v>
      </c>
      <c r="R180">
        <v>5.6</v>
      </c>
      <c r="S180">
        <v>23.7</v>
      </c>
    </row>
    <row r="181" spans="1:20" x14ac:dyDescent="0.3">
      <c r="A181" t="s">
        <v>345</v>
      </c>
      <c r="B181">
        <v>500</v>
      </c>
      <c r="C181">
        <v>5000</v>
      </c>
      <c r="D181">
        <v>0.08</v>
      </c>
      <c r="E181">
        <v>26</v>
      </c>
      <c r="F181">
        <v>3</v>
      </c>
      <c r="G181" t="s">
        <v>337</v>
      </c>
      <c r="H181">
        <v>-1.1100000000000001</v>
      </c>
      <c r="I181">
        <v>0.48</v>
      </c>
      <c r="J181">
        <v>0.34</v>
      </c>
      <c r="K181">
        <v>0.42</v>
      </c>
      <c r="L181">
        <v>-0.22</v>
      </c>
      <c r="M181">
        <v>1</v>
      </c>
      <c r="N181" t="s">
        <v>338</v>
      </c>
      <c r="O181">
        <v>1</v>
      </c>
      <c r="P181" t="s">
        <v>34</v>
      </c>
      <c r="Q181" t="s">
        <v>57</v>
      </c>
      <c r="R181">
        <v>5.2</v>
      </c>
      <c r="S181">
        <v>3.8</v>
      </c>
    </row>
    <row r="182" spans="1:20" x14ac:dyDescent="0.3">
      <c r="A182" t="s">
        <v>346</v>
      </c>
      <c r="B182">
        <v>500</v>
      </c>
      <c r="C182">
        <v>5000</v>
      </c>
      <c r="D182">
        <v>0.44</v>
      </c>
      <c r="E182">
        <v>1015</v>
      </c>
      <c r="F182">
        <v>3</v>
      </c>
      <c r="G182" t="s">
        <v>340</v>
      </c>
      <c r="H182">
        <v>2.41</v>
      </c>
      <c r="I182">
        <v>-4.78</v>
      </c>
      <c r="J182">
        <v>21.23</v>
      </c>
      <c r="K182">
        <v>0.95</v>
      </c>
      <c r="L182">
        <v>1.27</v>
      </c>
      <c r="M182">
        <v>6</v>
      </c>
      <c r="N182" t="s">
        <v>338</v>
      </c>
      <c r="O182">
        <v>1</v>
      </c>
      <c r="P182" t="s">
        <v>32</v>
      </c>
      <c r="Q182" t="s">
        <v>63</v>
      </c>
      <c r="R182">
        <v>6.5</v>
      </c>
      <c r="S182">
        <v>29.4</v>
      </c>
    </row>
    <row r="183" spans="1:20" x14ac:dyDescent="0.3">
      <c r="A183" t="s">
        <v>347</v>
      </c>
      <c r="B183">
        <v>500</v>
      </c>
      <c r="C183">
        <v>5000</v>
      </c>
      <c r="D183">
        <v>0.1</v>
      </c>
      <c r="E183">
        <v>119</v>
      </c>
      <c r="F183">
        <v>2</v>
      </c>
      <c r="G183" t="s">
        <v>337</v>
      </c>
      <c r="H183" t="s">
        <v>36</v>
      </c>
      <c r="I183" t="s">
        <v>36</v>
      </c>
      <c r="J183" t="s">
        <v>36</v>
      </c>
      <c r="K183" t="s">
        <v>36</v>
      </c>
      <c r="L183" t="s">
        <v>36</v>
      </c>
      <c r="M183">
        <v>2</v>
      </c>
      <c r="N183" t="s">
        <v>338</v>
      </c>
      <c r="O183">
        <v>2</v>
      </c>
      <c r="P183" t="s">
        <v>34</v>
      </c>
      <c r="Q183" t="s">
        <v>61</v>
      </c>
      <c r="R183">
        <v>5.3</v>
      </c>
    </row>
    <row r="184" spans="1:20" x14ac:dyDescent="0.3">
      <c r="A184" t="s">
        <v>348</v>
      </c>
      <c r="B184">
        <v>500</v>
      </c>
      <c r="C184">
        <v>5000</v>
      </c>
      <c r="D184">
        <v>0.36</v>
      </c>
      <c r="E184">
        <v>60</v>
      </c>
      <c r="F184">
        <v>10</v>
      </c>
      <c r="G184" t="s">
        <v>349</v>
      </c>
      <c r="H184">
        <v>-0.31</v>
      </c>
      <c r="I184">
        <v>0.56000000000000005</v>
      </c>
      <c r="J184">
        <v>0.72</v>
      </c>
      <c r="K184">
        <v>0.55000000000000004</v>
      </c>
      <c r="L184">
        <v>-0.23</v>
      </c>
      <c r="M184">
        <v>1</v>
      </c>
      <c r="N184" t="s">
        <v>350</v>
      </c>
      <c r="O184">
        <v>1</v>
      </c>
      <c r="P184" t="s">
        <v>27</v>
      </c>
      <c r="Q184" t="s">
        <v>28</v>
      </c>
      <c r="R184">
        <v>5.4</v>
      </c>
      <c r="S184">
        <v>3.7</v>
      </c>
      <c r="T184">
        <v>4.5</v>
      </c>
    </row>
    <row r="185" spans="1:20" x14ac:dyDescent="0.3">
      <c r="A185" t="s">
        <v>351</v>
      </c>
      <c r="B185">
        <v>1000</v>
      </c>
      <c r="C185">
        <v>5000</v>
      </c>
      <c r="D185">
        <v>0.63</v>
      </c>
      <c r="E185">
        <v>43</v>
      </c>
      <c r="F185">
        <v>10</v>
      </c>
      <c r="G185" t="s">
        <v>352</v>
      </c>
      <c r="H185">
        <v>1.64</v>
      </c>
      <c r="I185">
        <v>1.34</v>
      </c>
      <c r="J185">
        <v>1.61</v>
      </c>
      <c r="K185">
        <v>0.65</v>
      </c>
      <c r="L185">
        <v>0.95</v>
      </c>
      <c r="M185">
        <v>2</v>
      </c>
      <c r="N185" t="s">
        <v>350</v>
      </c>
      <c r="O185">
        <v>4</v>
      </c>
      <c r="P185" t="s">
        <v>34</v>
      </c>
      <c r="Q185" t="s">
        <v>40</v>
      </c>
      <c r="R185">
        <v>4.8</v>
      </c>
      <c r="S185">
        <v>6</v>
      </c>
      <c r="T185">
        <v>6.1</v>
      </c>
    </row>
    <row r="186" spans="1:20" x14ac:dyDescent="0.3">
      <c r="A186" t="s">
        <v>353</v>
      </c>
      <c r="B186">
        <v>500</v>
      </c>
      <c r="C186">
        <v>5000</v>
      </c>
      <c r="D186">
        <v>1.37</v>
      </c>
      <c r="E186">
        <v>11</v>
      </c>
      <c r="F186">
        <v>10</v>
      </c>
      <c r="G186" t="s">
        <v>349</v>
      </c>
      <c r="H186">
        <v>3.79</v>
      </c>
      <c r="I186">
        <v>5.95</v>
      </c>
      <c r="J186">
        <v>17.440000000000001</v>
      </c>
      <c r="K186">
        <v>1</v>
      </c>
      <c r="L186">
        <v>1.4</v>
      </c>
      <c r="M186">
        <v>6</v>
      </c>
      <c r="N186" t="s">
        <v>350</v>
      </c>
      <c r="O186">
        <v>4</v>
      </c>
      <c r="P186" t="s">
        <v>27</v>
      </c>
      <c r="Q186" t="s">
        <v>42</v>
      </c>
      <c r="R186">
        <v>8</v>
      </c>
      <c r="S186">
        <v>29.5</v>
      </c>
      <c r="T186">
        <v>11.2</v>
      </c>
    </row>
    <row r="187" spans="1:20" x14ac:dyDescent="0.3">
      <c r="A187" t="s">
        <v>354</v>
      </c>
      <c r="B187">
        <v>500</v>
      </c>
      <c r="C187">
        <v>5000</v>
      </c>
      <c r="D187">
        <v>1.62</v>
      </c>
      <c r="E187">
        <v>255</v>
      </c>
      <c r="F187">
        <v>10</v>
      </c>
      <c r="G187" t="s">
        <v>352</v>
      </c>
      <c r="H187">
        <v>3.67</v>
      </c>
      <c r="I187">
        <v>1.75</v>
      </c>
      <c r="J187">
        <v>16.28</v>
      </c>
      <c r="K187">
        <v>0.9</v>
      </c>
      <c r="L187">
        <v>1.4</v>
      </c>
      <c r="M187">
        <v>6</v>
      </c>
      <c r="N187" t="s">
        <v>350</v>
      </c>
      <c r="O187">
        <v>4</v>
      </c>
      <c r="P187" t="s">
        <v>32</v>
      </c>
      <c r="Q187" t="s">
        <v>44</v>
      </c>
      <c r="R187">
        <v>5.2</v>
      </c>
      <c r="S187">
        <v>30.7</v>
      </c>
      <c r="T187">
        <v>13.8</v>
      </c>
    </row>
    <row r="188" spans="1:20" x14ac:dyDescent="0.3">
      <c r="A188" t="s">
        <v>355</v>
      </c>
      <c r="B188">
        <v>500</v>
      </c>
      <c r="C188">
        <v>5000</v>
      </c>
      <c r="D188">
        <v>1.58</v>
      </c>
      <c r="E188">
        <v>42</v>
      </c>
      <c r="F188">
        <v>10</v>
      </c>
      <c r="G188" t="s">
        <v>352</v>
      </c>
      <c r="H188">
        <v>2.5</v>
      </c>
      <c r="I188">
        <v>-2.98</v>
      </c>
      <c r="J188">
        <v>16.71</v>
      </c>
      <c r="K188">
        <v>0.93</v>
      </c>
      <c r="L188">
        <v>1.08</v>
      </c>
      <c r="M188">
        <v>6</v>
      </c>
      <c r="N188" t="s">
        <v>350</v>
      </c>
      <c r="O188">
        <v>1</v>
      </c>
      <c r="P188" t="s">
        <v>32</v>
      </c>
      <c r="Q188" t="s">
        <v>46</v>
      </c>
      <c r="R188">
        <v>3.1</v>
      </c>
      <c r="S188">
        <v>19.399999999999999</v>
      </c>
      <c r="T188">
        <v>8.6</v>
      </c>
    </row>
    <row r="189" spans="1:20" x14ac:dyDescent="0.3">
      <c r="A189" t="s">
        <v>356</v>
      </c>
      <c r="B189">
        <v>500</v>
      </c>
      <c r="C189">
        <v>5000</v>
      </c>
      <c r="D189">
        <v>1.8</v>
      </c>
      <c r="E189">
        <v>44</v>
      </c>
      <c r="F189">
        <v>10</v>
      </c>
      <c r="G189" t="s">
        <v>352</v>
      </c>
      <c r="H189">
        <v>2.94</v>
      </c>
      <c r="I189">
        <v>-0.69</v>
      </c>
      <c r="J189">
        <v>12.03</v>
      </c>
      <c r="K189">
        <v>0.67</v>
      </c>
      <c r="L189">
        <v>1.2</v>
      </c>
      <c r="M189">
        <v>6</v>
      </c>
      <c r="N189" t="s">
        <v>350</v>
      </c>
      <c r="O189">
        <v>5</v>
      </c>
      <c r="P189" t="s">
        <v>32</v>
      </c>
      <c r="Q189" t="s">
        <v>47</v>
      </c>
      <c r="R189">
        <v>1.8</v>
      </c>
      <c r="S189">
        <v>18.3</v>
      </c>
      <c r="T189">
        <v>10.4</v>
      </c>
    </row>
    <row r="190" spans="1:20" x14ac:dyDescent="0.3">
      <c r="A190" t="s">
        <v>357</v>
      </c>
      <c r="B190">
        <v>1000</v>
      </c>
      <c r="C190">
        <v>5000</v>
      </c>
      <c r="D190">
        <v>0.15</v>
      </c>
      <c r="E190">
        <v>1426</v>
      </c>
      <c r="F190">
        <v>10</v>
      </c>
      <c r="G190" t="s">
        <v>358</v>
      </c>
      <c r="H190">
        <v>3.82</v>
      </c>
      <c r="I190">
        <v>1.22</v>
      </c>
      <c r="J190">
        <v>0.36</v>
      </c>
      <c r="K190">
        <v>0.68</v>
      </c>
      <c r="L190">
        <v>0.86</v>
      </c>
      <c r="M190">
        <v>2</v>
      </c>
      <c r="N190" t="s">
        <v>350</v>
      </c>
      <c r="O190">
        <v>4</v>
      </c>
      <c r="P190" t="s">
        <v>34</v>
      </c>
      <c r="Q190" t="s">
        <v>51</v>
      </c>
      <c r="R190">
        <v>5.6</v>
      </c>
      <c r="S190">
        <v>4.2</v>
      </c>
      <c r="T190">
        <v>5.3</v>
      </c>
    </row>
    <row r="191" spans="1:20" x14ac:dyDescent="0.3">
      <c r="A191" t="s">
        <v>359</v>
      </c>
      <c r="B191">
        <v>1000</v>
      </c>
      <c r="C191">
        <v>5000</v>
      </c>
      <c r="D191">
        <v>0.34</v>
      </c>
      <c r="E191">
        <v>151</v>
      </c>
      <c r="F191">
        <v>10</v>
      </c>
      <c r="G191" t="s">
        <v>358</v>
      </c>
      <c r="H191">
        <v>12.57</v>
      </c>
      <c r="I191">
        <v>9.0299999999999994</v>
      </c>
      <c r="J191">
        <v>11.61</v>
      </c>
      <c r="K191">
        <v>1.19</v>
      </c>
      <c r="L191">
        <v>0.64</v>
      </c>
      <c r="M191">
        <v>2</v>
      </c>
      <c r="N191" t="s">
        <v>350</v>
      </c>
      <c r="O191">
        <v>4</v>
      </c>
      <c r="P191" t="s">
        <v>34</v>
      </c>
      <c r="Q191" t="s">
        <v>52</v>
      </c>
      <c r="R191">
        <v>5.0999999999999996</v>
      </c>
      <c r="S191">
        <v>11.5</v>
      </c>
      <c r="T191">
        <v>5.3</v>
      </c>
    </row>
    <row r="192" spans="1:20" x14ac:dyDescent="0.3">
      <c r="A192" t="s">
        <v>360</v>
      </c>
      <c r="B192">
        <v>1000</v>
      </c>
      <c r="C192">
        <v>5000</v>
      </c>
      <c r="D192">
        <v>0.48</v>
      </c>
      <c r="E192">
        <v>19</v>
      </c>
      <c r="F192">
        <v>10</v>
      </c>
      <c r="G192" t="s">
        <v>352</v>
      </c>
      <c r="H192">
        <v>0.28000000000000003</v>
      </c>
      <c r="I192">
        <v>0.23</v>
      </c>
      <c r="J192">
        <v>3.03</v>
      </c>
      <c r="K192">
        <v>1.39</v>
      </c>
      <c r="L192">
        <v>0.2</v>
      </c>
      <c r="M192">
        <v>3</v>
      </c>
      <c r="N192" t="s">
        <v>350</v>
      </c>
      <c r="O192">
        <v>2</v>
      </c>
      <c r="P192" t="s">
        <v>34</v>
      </c>
      <c r="Q192" t="s">
        <v>50</v>
      </c>
      <c r="R192">
        <v>2.5</v>
      </c>
      <c r="S192">
        <v>4.8</v>
      </c>
      <c r="T192">
        <v>3.1</v>
      </c>
    </row>
    <row r="193" spans="1:20" x14ac:dyDescent="0.3">
      <c r="A193" t="s">
        <v>361</v>
      </c>
      <c r="B193">
        <v>500</v>
      </c>
      <c r="C193">
        <v>500</v>
      </c>
      <c r="D193">
        <v>1.45</v>
      </c>
      <c r="E193">
        <v>70</v>
      </c>
      <c r="F193">
        <v>10</v>
      </c>
      <c r="G193" t="s">
        <v>352</v>
      </c>
      <c r="H193">
        <v>2.94</v>
      </c>
      <c r="I193">
        <v>0.39</v>
      </c>
      <c r="J193">
        <v>16.559999999999999</v>
      </c>
      <c r="K193">
        <v>0.93</v>
      </c>
      <c r="L193">
        <v>1.35</v>
      </c>
      <c r="M193">
        <v>6</v>
      </c>
      <c r="N193" t="s">
        <v>350</v>
      </c>
      <c r="O193">
        <v>3</v>
      </c>
      <c r="P193" t="s">
        <v>32</v>
      </c>
      <c r="Q193" t="s">
        <v>64</v>
      </c>
      <c r="R193">
        <v>0.9</v>
      </c>
      <c r="S193">
        <v>26.2</v>
      </c>
      <c r="T193">
        <v>12.8</v>
      </c>
    </row>
    <row r="194" spans="1:20" x14ac:dyDescent="0.3">
      <c r="A194" t="s">
        <v>362</v>
      </c>
      <c r="B194">
        <v>500</v>
      </c>
      <c r="C194">
        <v>5000</v>
      </c>
      <c r="D194">
        <v>1.87</v>
      </c>
      <c r="E194">
        <v>163</v>
      </c>
      <c r="F194">
        <v>10</v>
      </c>
      <c r="G194" t="s">
        <v>352</v>
      </c>
      <c r="H194">
        <v>3.94</v>
      </c>
      <c r="I194">
        <v>4.5599999999999996</v>
      </c>
      <c r="J194">
        <v>16.13</v>
      </c>
      <c r="K194">
        <v>0.89</v>
      </c>
      <c r="L194">
        <v>1.53</v>
      </c>
      <c r="M194">
        <v>6</v>
      </c>
      <c r="N194" t="s">
        <v>350</v>
      </c>
      <c r="O194">
        <v>2</v>
      </c>
      <c r="P194" t="s">
        <v>32</v>
      </c>
      <c r="Q194" t="s">
        <v>58</v>
      </c>
      <c r="R194">
        <v>7.7</v>
      </c>
      <c r="S194">
        <v>28.9</v>
      </c>
      <c r="T194">
        <v>12.4</v>
      </c>
    </row>
    <row r="195" spans="1:20" x14ac:dyDescent="0.3">
      <c r="A195" t="s">
        <v>363</v>
      </c>
      <c r="B195">
        <v>1000</v>
      </c>
      <c r="C195">
        <v>1000</v>
      </c>
      <c r="D195">
        <v>0.48</v>
      </c>
      <c r="E195">
        <v>14279</v>
      </c>
      <c r="F195">
        <v>5</v>
      </c>
      <c r="G195" t="s">
        <v>364</v>
      </c>
      <c r="H195">
        <v>4.01</v>
      </c>
      <c r="I195">
        <v>3.56</v>
      </c>
      <c r="J195">
        <v>8.76</v>
      </c>
      <c r="K195">
        <v>0.56000000000000005</v>
      </c>
      <c r="L195">
        <v>1.59</v>
      </c>
      <c r="M195">
        <v>6</v>
      </c>
      <c r="N195" t="s">
        <v>365</v>
      </c>
      <c r="O195">
        <v>3</v>
      </c>
      <c r="P195" t="s">
        <v>27</v>
      </c>
      <c r="Q195" t="s">
        <v>31</v>
      </c>
      <c r="R195">
        <v>5.5</v>
      </c>
      <c r="S195">
        <v>18.100000000000001</v>
      </c>
    </row>
    <row r="196" spans="1:20" x14ac:dyDescent="0.3">
      <c r="A196" t="s">
        <v>366</v>
      </c>
      <c r="B196">
        <v>1000</v>
      </c>
      <c r="C196">
        <v>5000</v>
      </c>
      <c r="D196">
        <v>0.37</v>
      </c>
      <c r="E196">
        <v>5256</v>
      </c>
      <c r="F196">
        <v>10</v>
      </c>
      <c r="G196" t="s">
        <v>367</v>
      </c>
      <c r="H196">
        <v>1.87</v>
      </c>
      <c r="I196">
        <v>4.03</v>
      </c>
      <c r="J196">
        <v>2.0299999999999998</v>
      </c>
      <c r="K196">
        <v>1.45</v>
      </c>
      <c r="L196">
        <v>1.03</v>
      </c>
      <c r="M196">
        <v>3</v>
      </c>
      <c r="N196" t="s">
        <v>365</v>
      </c>
      <c r="O196">
        <v>3</v>
      </c>
      <c r="P196" t="s">
        <v>34</v>
      </c>
      <c r="Q196" t="s">
        <v>35</v>
      </c>
      <c r="R196">
        <v>4.7</v>
      </c>
      <c r="S196">
        <v>6.7</v>
      </c>
      <c r="T196">
        <v>7.5</v>
      </c>
    </row>
    <row r="197" spans="1:20" x14ac:dyDescent="0.3">
      <c r="A197" t="s">
        <v>368</v>
      </c>
      <c r="B197">
        <v>100</v>
      </c>
      <c r="C197">
        <v>1000</v>
      </c>
      <c r="D197">
        <v>0.64</v>
      </c>
      <c r="E197">
        <v>5259</v>
      </c>
      <c r="F197">
        <v>10</v>
      </c>
      <c r="G197" t="s">
        <v>364</v>
      </c>
      <c r="H197">
        <v>3.48</v>
      </c>
      <c r="I197">
        <v>1.75</v>
      </c>
      <c r="J197">
        <v>15.3</v>
      </c>
      <c r="K197">
        <v>0.91</v>
      </c>
      <c r="L197">
        <v>1.45</v>
      </c>
      <c r="M197">
        <v>6</v>
      </c>
      <c r="N197" t="s">
        <v>365</v>
      </c>
      <c r="O197">
        <v>5</v>
      </c>
      <c r="P197" t="s">
        <v>32</v>
      </c>
      <c r="Q197" t="s">
        <v>47</v>
      </c>
      <c r="R197">
        <v>3.3</v>
      </c>
      <c r="S197">
        <v>26.8</v>
      </c>
      <c r="T197">
        <v>12.6</v>
      </c>
    </row>
    <row r="198" spans="1:20" x14ac:dyDescent="0.3">
      <c r="A198" t="s">
        <v>369</v>
      </c>
      <c r="B198">
        <v>1000</v>
      </c>
      <c r="C198">
        <v>5000</v>
      </c>
      <c r="D198">
        <v>0.36</v>
      </c>
      <c r="E198">
        <v>12203</v>
      </c>
      <c r="F198">
        <v>10</v>
      </c>
      <c r="G198" t="s">
        <v>367</v>
      </c>
      <c r="H198">
        <v>1.89</v>
      </c>
      <c r="I198">
        <v>4.7300000000000004</v>
      </c>
      <c r="J198">
        <v>1.76</v>
      </c>
      <c r="K198">
        <v>2.06</v>
      </c>
      <c r="L198">
        <v>1.1200000000000001</v>
      </c>
      <c r="M198">
        <v>3</v>
      </c>
      <c r="N198" t="s">
        <v>365</v>
      </c>
      <c r="O198">
        <v>3</v>
      </c>
      <c r="P198" t="s">
        <v>34</v>
      </c>
      <c r="Q198" t="s">
        <v>62</v>
      </c>
      <c r="R198">
        <v>4.4000000000000004</v>
      </c>
      <c r="S198">
        <v>6.5</v>
      </c>
      <c r="T198">
        <v>7.2</v>
      </c>
    </row>
    <row r="199" spans="1:20" x14ac:dyDescent="0.3">
      <c r="A199" t="s">
        <v>370</v>
      </c>
      <c r="B199">
        <v>1000</v>
      </c>
      <c r="C199">
        <v>5000</v>
      </c>
      <c r="D199">
        <v>0.63</v>
      </c>
      <c r="E199">
        <v>1584</v>
      </c>
      <c r="F199">
        <v>10</v>
      </c>
      <c r="G199" t="s">
        <v>371</v>
      </c>
      <c r="H199">
        <v>0.72</v>
      </c>
      <c r="I199">
        <v>1.47</v>
      </c>
      <c r="J199">
        <v>3.19</v>
      </c>
      <c r="K199">
        <v>1.57</v>
      </c>
      <c r="L199">
        <v>0.6</v>
      </c>
      <c r="M199">
        <v>2</v>
      </c>
      <c r="N199" t="s">
        <v>365</v>
      </c>
      <c r="O199">
        <v>3</v>
      </c>
      <c r="P199" t="s">
        <v>34</v>
      </c>
      <c r="Q199" t="s">
        <v>50</v>
      </c>
      <c r="R199">
        <v>4.0999999999999996</v>
      </c>
      <c r="S199">
        <v>6.4</v>
      </c>
      <c r="T199">
        <v>7.7</v>
      </c>
    </row>
    <row r="200" spans="1:20" x14ac:dyDescent="0.3">
      <c r="A200" t="s">
        <v>372</v>
      </c>
      <c r="B200">
        <v>1000</v>
      </c>
      <c r="C200">
        <v>5000</v>
      </c>
      <c r="D200">
        <v>0.32</v>
      </c>
      <c r="E200">
        <v>8880</v>
      </c>
      <c r="F200">
        <v>10</v>
      </c>
      <c r="G200" t="s">
        <v>367</v>
      </c>
      <c r="H200">
        <v>2.25</v>
      </c>
      <c r="I200">
        <v>1.73</v>
      </c>
      <c r="J200">
        <v>1.54</v>
      </c>
      <c r="K200">
        <v>0.59</v>
      </c>
      <c r="L200">
        <v>1.23</v>
      </c>
      <c r="M200">
        <v>2</v>
      </c>
      <c r="N200" t="s">
        <v>365</v>
      </c>
      <c r="O200">
        <v>3</v>
      </c>
      <c r="P200" t="s">
        <v>34</v>
      </c>
      <c r="Q200" t="s">
        <v>37</v>
      </c>
      <c r="R200">
        <v>4.5</v>
      </c>
      <c r="S200">
        <v>6.4</v>
      </c>
      <c r="T200">
        <v>7.1</v>
      </c>
    </row>
    <row r="201" spans="1:20" x14ac:dyDescent="0.3">
      <c r="A201" t="s">
        <v>373</v>
      </c>
      <c r="B201">
        <v>1000</v>
      </c>
      <c r="C201">
        <v>5000</v>
      </c>
      <c r="D201">
        <v>0.74</v>
      </c>
      <c r="E201">
        <v>1204</v>
      </c>
      <c r="F201">
        <v>10</v>
      </c>
      <c r="G201" t="s">
        <v>367</v>
      </c>
      <c r="H201">
        <v>0.42</v>
      </c>
      <c r="I201">
        <v>0.82</v>
      </c>
      <c r="J201">
        <v>2.92</v>
      </c>
      <c r="K201">
        <v>-0.4</v>
      </c>
      <c r="L201">
        <v>0.47</v>
      </c>
      <c r="M201">
        <v>5</v>
      </c>
      <c r="N201" t="s">
        <v>365</v>
      </c>
      <c r="O201">
        <v>2</v>
      </c>
      <c r="P201" t="s">
        <v>34</v>
      </c>
      <c r="Q201" t="s">
        <v>38</v>
      </c>
      <c r="R201">
        <v>1.6</v>
      </c>
      <c r="S201">
        <v>5.9</v>
      </c>
      <c r="T201">
        <v>6.4</v>
      </c>
    </row>
    <row r="202" spans="1:20" x14ac:dyDescent="0.3">
      <c r="A202" t="s">
        <v>374</v>
      </c>
      <c r="B202">
        <v>1000</v>
      </c>
      <c r="C202">
        <v>5000</v>
      </c>
      <c r="D202">
        <v>0.44</v>
      </c>
      <c r="E202">
        <v>1650</v>
      </c>
      <c r="F202">
        <v>10</v>
      </c>
      <c r="G202" t="s">
        <v>375</v>
      </c>
      <c r="H202">
        <v>3.44</v>
      </c>
      <c r="I202">
        <v>4.79</v>
      </c>
      <c r="J202">
        <v>4.7300000000000004</v>
      </c>
      <c r="K202">
        <v>0.7</v>
      </c>
      <c r="L202">
        <v>2.06</v>
      </c>
      <c r="M202">
        <v>4</v>
      </c>
      <c r="N202" t="s">
        <v>365</v>
      </c>
      <c r="O202">
        <v>5</v>
      </c>
      <c r="P202" t="s">
        <v>27</v>
      </c>
      <c r="Q202" t="s">
        <v>59</v>
      </c>
      <c r="R202">
        <v>6.1</v>
      </c>
      <c r="S202">
        <v>14.3</v>
      </c>
      <c r="T202">
        <v>10</v>
      </c>
    </row>
    <row r="203" spans="1:20" x14ac:dyDescent="0.3">
      <c r="A203" t="s">
        <v>376</v>
      </c>
      <c r="B203">
        <v>1000</v>
      </c>
      <c r="C203">
        <v>5000</v>
      </c>
      <c r="D203">
        <v>0.4</v>
      </c>
      <c r="E203">
        <v>1992</v>
      </c>
      <c r="F203">
        <v>10</v>
      </c>
      <c r="G203" t="s">
        <v>367</v>
      </c>
      <c r="H203">
        <v>1</v>
      </c>
      <c r="I203">
        <v>1.66</v>
      </c>
      <c r="J203">
        <v>2.95</v>
      </c>
      <c r="K203">
        <v>1.32</v>
      </c>
      <c r="L203">
        <v>0.69</v>
      </c>
      <c r="M203">
        <v>3</v>
      </c>
      <c r="N203" t="s">
        <v>365</v>
      </c>
      <c r="O203">
        <v>4</v>
      </c>
      <c r="P203" t="s">
        <v>34</v>
      </c>
      <c r="Q203" t="s">
        <v>40</v>
      </c>
      <c r="R203">
        <v>3.9</v>
      </c>
      <c r="S203">
        <v>6.6</v>
      </c>
      <c r="T203">
        <v>7.8</v>
      </c>
    </row>
    <row r="204" spans="1:20" x14ac:dyDescent="0.3">
      <c r="A204" t="s">
        <v>377</v>
      </c>
      <c r="B204">
        <v>100</v>
      </c>
      <c r="C204">
        <v>100</v>
      </c>
      <c r="D204">
        <v>0.49</v>
      </c>
      <c r="E204">
        <v>23962</v>
      </c>
      <c r="F204">
        <v>10</v>
      </c>
      <c r="G204" t="s">
        <v>378</v>
      </c>
      <c r="H204">
        <v>3.73</v>
      </c>
      <c r="I204">
        <v>3.18</v>
      </c>
      <c r="J204">
        <v>16.420000000000002</v>
      </c>
      <c r="K204">
        <v>0.9</v>
      </c>
      <c r="L204">
        <v>1.82</v>
      </c>
      <c r="M204">
        <v>6</v>
      </c>
      <c r="N204" t="s">
        <v>365</v>
      </c>
      <c r="O204">
        <v>4</v>
      </c>
      <c r="P204" t="s">
        <v>32</v>
      </c>
      <c r="Q204" t="s">
        <v>54</v>
      </c>
      <c r="R204">
        <v>6.6</v>
      </c>
      <c r="S204">
        <v>34</v>
      </c>
      <c r="T204">
        <v>15.2</v>
      </c>
    </row>
    <row r="205" spans="1:20" x14ac:dyDescent="0.3">
      <c r="A205" t="s">
        <v>379</v>
      </c>
      <c r="B205">
        <v>1000</v>
      </c>
      <c r="C205">
        <v>5000</v>
      </c>
      <c r="D205">
        <v>0.43</v>
      </c>
      <c r="E205">
        <v>21917</v>
      </c>
      <c r="F205">
        <v>10</v>
      </c>
      <c r="G205" t="s">
        <v>380</v>
      </c>
      <c r="H205">
        <v>1.46</v>
      </c>
      <c r="I205">
        <v>1.66</v>
      </c>
      <c r="J205">
        <v>0.75</v>
      </c>
      <c r="K205">
        <v>0.54</v>
      </c>
      <c r="L205">
        <v>1.26</v>
      </c>
      <c r="M205">
        <v>1</v>
      </c>
      <c r="N205" t="s">
        <v>365</v>
      </c>
      <c r="O205">
        <v>4</v>
      </c>
      <c r="P205" t="s">
        <v>27</v>
      </c>
      <c r="Q205" t="s">
        <v>28</v>
      </c>
      <c r="R205">
        <v>5.8</v>
      </c>
      <c r="S205">
        <v>4.9000000000000004</v>
      </c>
      <c r="T205">
        <v>5.6</v>
      </c>
    </row>
    <row r="206" spans="1:20" x14ac:dyDescent="0.3">
      <c r="A206" t="s">
        <v>381</v>
      </c>
      <c r="B206">
        <v>1000</v>
      </c>
      <c r="C206">
        <v>5000</v>
      </c>
      <c r="D206">
        <v>0.57999999999999996</v>
      </c>
      <c r="E206">
        <v>3269</v>
      </c>
      <c r="F206">
        <v>8</v>
      </c>
      <c r="G206" t="s">
        <v>378</v>
      </c>
      <c r="H206">
        <v>3.89</v>
      </c>
      <c r="I206">
        <v>7.32</v>
      </c>
      <c r="J206">
        <v>11.76</v>
      </c>
      <c r="K206">
        <v>0.79</v>
      </c>
      <c r="L206">
        <v>1.86</v>
      </c>
      <c r="M206">
        <v>6</v>
      </c>
      <c r="N206" t="s">
        <v>365</v>
      </c>
      <c r="O206">
        <v>0</v>
      </c>
      <c r="P206" t="s">
        <v>27</v>
      </c>
      <c r="Q206" t="s">
        <v>42</v>
      </c>
      <c r="R206">
        <v>5</v>
      </c>
      <c r="S206">
        <v>26.9</v>
      </c>
      <c r="T206">
        <v>12.8</v>
      </c>
    </row>
    <row r="207" spans="1:20" x14ac:dyDescent="0.3">
      <c r="A207" t="s">
        <v>382</v>
      </c>
      <c r="B207">
        <v>500</v>
      </c>
      <c r="C207">
        <v>500</v>
      </c>
      <c r="D207">
        <v>0.6</v>
      </c>
      <c r="E207">
        <v>11608</v>
      </c>
      <c r="F207">
        <v>10</v>
      </c>
      <c r="G207" t="s">
        <v>383</v>
      </c>
      <c r="H207">
        <v>3.43</v>
      </c>
      <c r="I207">
        <v>4.72</v>
      </c>
      <c r="J207">
        <v>14.62</v>
      </c>
      <c r="K207">
        <v>0.84</v>
      </c>
      <c r="L207">
        <v>1.64</v>
      </c>
      <c r="M207">
        <v>6</v>
      </c>
      <c r="N207" t="s">
        <v>365</v>
      </c>
      <c r="O207">
        <v>4</v>
      </c>
      <c r="P207" t="s">
        <v>32</v>
      </c>
      <c r="Q207" t="s">
        <v>41</v>
      </c>
      <c r="R207">
        <v>6.2</v>
      </c>
      <c r="S207">
        <v>28.8</v>
      </c>
      <c r="T207">
        <v>13.9</v>
      </c>
    </row>
    <row r="208" spans="1:20" x14ac:dyDescent="0.3">
      <c r="A208" t="s">
        <v>384</v>
      </c>
      <c r="B208">
        <v>1000</v>
      </c>
      <c r="C208">
        <v>5000</v>
      </c>
      <c r="D208">
        <v>1.02</v>
      </c>
      <c r="E208">
        <v>2097</v>
      </c>
      <c r="F208">
        <v>8</v>
      </c>
      <c r="G208" t="s">
        <v>375</v>
      </c>
      <c r="H208">
        <v>4.22</v>
      </c>
      <c r="I208">
        <v>4.5</v>
      </c>
      <c r="J208">
        <v>5.64</v>
      </c>
      <c r="K208">
        <v>0.79</v>
      </c>
      <c r="L208">
        <v>1.8</v>
      </c>
      <c r="M208">
        <v>4</v>
      </c>
      <c r="N208" t="s">
        <v>365</v>
      </c>
      <c r="O208">
        <v>4</v>
      </c>
      <c r="P208" t="s">
        <v>27</v>
      </c>
      <c r="Q208" t="s">
        <v>43</v>
      </c>
      <c r="R208">
        <v>6.6</v>
      </c>
      <c r="S208">
        <v>14.4</v>
      </c>
      <c r="T208">
        <v>9.1999999999999993</v>
      </c>
    </row>
    <row r="209" spans="1:20" x14ac:dyDescent="0.3">
      <c r="A209" t="s">
        <v>385</v>
      </c>
      <c r="B209">
        <v>500</v>
      </c>
      <c r="C209">
        <v>5000</v>
      </c>
      <c r="D209">
        <v>0.68</v>
      </c>
      <c r="E209">
        <v>35775</v>
      </c>
      <c r="F209">
        <v>10</v>
      </c>
      <c r="G209" t="s">
        <v>383</v>
      </c>
      <c r="H209">
        <v>2.7</v>
      </c>
      <c r="I209">
        <v>0.11</v>
      </c>
      <c r="J209">
        <v>15.22</v>
      </c>
      <c r="K209">
        <v>0.88</v>
      </c>
      <c r="L209">
        <v>1.37</v>
      </c>
      <c r="M209">
        <v>6</v>
      </c>
      <c r="N209" t="s">
        <v>365</v>
      </c>
      <c r="O209">
        <v>3</v>
      </c>
      <c r="P209" t="s">
        <v>32</v>
      </c>
      <c r="Q209" t="s">
        <v>44</v>
      </c>
      <c r="R209">
        <v>3.8</v>
      </c>
      <c r="S209">
        <v>25</v>
      </c>
      <c r="T209">
        <v>11.7</v>
      </c>
    </row>
    <row r="210" spans="1:20" x14ac:dyDescent="0.3">
      <c r="A210" t="s">
        <v>386</v>
      </c>
      <c r="B210">
        <v>1000</v>
      </c>
      <c r="C210">
        <v>5000</v>
      </c>
      <c r="D210">
        <v>0.22</v>
      </c>
      <c r="E210">
        <v>4796</v>
      </c>
      <c r="F210">
        <v>4</v>
      </c>
      <c r="G210" t="s">
        <v>367</v>
      </c>
      <c r="H210">
        <v>1.86</v>
      </c>
      <c r="I210">
        <v>3.79</v>
      </c>
      <c r="J210">
        <v>2.35</v>
      </c>
      <c r="K210">
        <v>1.03</v>
      </c>
      <c r="L210">
        <v>1.02</v>
      </c>
      <c r="M210">
        <v>2</v>
      </c>
      <c r="N210" t="s">
        <v>365</v>
      </c>
      <c r="O210">
        <v>2</v>
      </c>
      <c r="P210" t="s">
        <v>34</v>
      </c>
      <c r="Q210" t="s">
        <v>45</v>
      </c>
      <c r="R210">
        <v>4.5999999999999996</v>
      </c>
      <c r="S210">
        <v>7</v>
      </c>
    </row>
    <row r="211" spans="1:20" x14ac:dyDescent="0.3">
      <c r="A211" t="s">
        <v>387</v>
      </c>
      <c r="B211">
        <v>1000</v>
      </c>
      <c r="C211">
        <v>5000</v>
      </c>
      <c r="D211">
        <v>0.51</v>
      </c>
      <c r="E211">
        <v>2447</v>
      </c>
      <c r="F211">
        <v>4</v>
      </c>
      <c r="G211" t="s">
        <v>388</v>
      </c>
      <c r="H211">
        <v>2.85</v>
      </c>
      <c r="I211">
        <v>1.39</v>
      </c>
      <c r="J211">
        <v>15.69</v>
      </c>
      <c r="K211">
        <v>0.9</v>
      </c>
      <c r="L211">
        <v>1.44</v>
      </c>
      <c r="M211">
        <v>6</v>
      </c>
      <c r="N211" t="s">
        <v>365</v>
      </c>
      <c r="O211">
        <v>3</v>
      </c>
      <c r="P211" t="s">
        <v>32</v>
      </c>
      <c r="Q211" t="s">
        <v>46</v>
      </c>
      <c r="R211">
        <v>0.5</v>
      </c>
      <c r="S211">
        <v>26.6</v>
      </c>
    </row>
    <row r="212" spans="1:20" x14ac:dyDescent="0.3">
      <c r="A212" t="s">
        <v>389</v>
      </c>
      <c r="B212">
        <v>1000</v>
      </c>
      <c r="C212">
        <v>5000</v>
      </c>
      <c r="D212">
        <v>0.41</v>
      </c>
      <c r="E212">
        <v>1699</v>
      </c>
      <c r="F212">
        <v>10</v>
      </c>
      <c r="G212" t="s">
        <v>371</v>
      </c>
      <c r="H212">
        <v>0.81</v>
      </c>
      <c r="I212">
        <v>1.3</v>
      </c>
      <c r="J212">
        <v>3.24</v>
      </c>
      <c r="K212">
        <v>0.7</v>
      </c>
      <c r="L212">
        <v>0.64</v>
      </c>
      <c r="M212">
        <v>2</v>
      </c>
      <c r="N212" t="s">
        <v>365</v>
      </c>
      <c r="O212">
        <v>4</v>
      </c>
      <c r="P212" t="s">
        <v>34</v>
      </c>
      <c r="Q212" t="s">
        <v>49</v>
      </c>
      <c r="R212">
        <v>5.2</v>
      </c>
      <c r="S212">
        <v>6.3</v>
      </c>
      <c r="T212">
        <v>8.4</v>
      </c>
    </row>
    <row r="213" spans="1:20" x14ac:dyDescent="0.3">
      <c r="A213" t="s">
        <v>390</v>
      </c>
      <c r="B213">
        <v>1000</v>
      </c>
      <c r="C213">
        <v>5000</v>
      </c>
      <c r="D213">
        <v>0.41</v>
      </c>
      <c r="E213">
        <v>1699</v>
      </c>
      <c r="F213">
        <v>10</v>
      </c>
      <c r="G213" t="s">
        <v>371</v>
      </c>
      <c r="H213">
        <v>0.81</v>
      </c>
      <c r="I213">
        <v>1.3</v>
      </c>
      <c r="J213">
        <v>3.23</v>
      </c>
      <c r="K213">
        <v>0.7</v>
      </c>
      <c r="L213">
        <v>0.64</v>
      </c>
      <c r="M213">
        <v>2</v>
      </c>
      <c r="N213" t="s">
        <v>365</v>
      </c>
      <c r="O213">
        <v>4</v>
      </c>
      <c r="P213" t="s">
        <v>34</v>
      </c>
      <c r="Q213" t="s">
        <v>49</v>
      </c>
      <c r="R213">
        <v>5.2</v>
      </c>
      <c r="S213">
        <v>6.3</v>
      </c>
      <c r="T213">
        <v>8.4</v>
      </c>
    </row>
    <row r="214" spans="1:20" x14ac:dyDescent="0.3">
      <c r="A214" t="s">
        <v>391</v>
      </c>
      <c r="B214">
        <v>1000</v>
      </c>
      <c r="C214">
        <v>5000</v>
      </c>
      <c r="D214">
        <v>0.18</v>
      </c>
      <c r="E214">
        <v>1406</v>
      </c>
      <c r="F214">
        <v>10</v>
      </c>
      <c r="G214" t="s">
        <v>371</v>
      </c>
      <c r="H214">
        <v>1.08</v>
      </c>
      <c r="I214">
        <v>-0.32</v>
      </c>
      <c r="J214">
        <v>13.51</v>
      </c>
      <c r="K214">
        <v>0.97</v>
      </c>
      <c r="L214">
        <v>0.48</v>
      </c>
      <c r="M214">
        <v>5</v>
      </c>
      <c r="N214" t="s">
        <v>365</v>
      </c>
      <c r="O214">
        <v>3</v>
      </c>
      <c r="P214" t="s">
        <v>23</v>
      </c>
      <c r="Q214" t="s">
        <v>24</v>
      </c>
      <c r="R214">
        <v>14.2</v>
      </c>
      <c r="S214">
        <v>12.2</v>
      </c>
      <c r="T214">
        <v>13.7</v>
      </c>
    </row>
    <row r="215" spans="1:20" x14ac:dyDescent="0.3">
      <c r="A215" t="s">
        <v>392</v>
      </c>
      <c r="B215">
        <v>1000</v>
      </c>
      <c r="C215">
        <v>5000</v>
      </c>
      <c r="D215">
        <v>0.81</v>
      </c>
      <c r="E215">
        <v>1440</v>
      </c>
      <c r="F215">
        <v>10</v>
      </c>
      <c r="G215" t="s">
        <v>388</v>
      </c>
      <c r="H215">
        <v>3.35</v>
      </c>
      <c r="I215">
        <v>4.24</v>
      </c>
      <c r="J215">
        <v>15.95</v>
      </c>
      <c r="K215">
        <v>0.92</v>
      </c>
      <c r="L215">
        <v>1.57</v>
      </c>
      <c r="M215">
        <v>6</v>
      </c>
      <c r="N215" t="s">
        <v>365</v>
      </c>
      <c r="O215">
        <v>4</v>
      </c>
      <c r="P215" t="s">
        <v>32</v>
      </c>
      <c r="Q215" t="s">
        <v>325</v>
      </c>
      <c r="R215">
        <v>7.3</v>
      </c>
      <c r="S215">
        <v>29.7</v>
      </c>
      <c r="T215">
        <v>14.2</v>
      </c>
    </row>
    <row r="216" spans="1:20" x14ac:dyDescent="0.3">
      <c r="A216" t="s">
        <v>393</v>
      </c>
      <c r="B216">
        <v>0</v>
      </c>
      <c r="C216">
        <v>5000</v>
      </c>
      <c r="D216">
        <v>0.34</v>
      </c>
      <c r="E216">
        <v>90</v>
      </c>
      <c r="F216">
        <v>5</v>
      </c>
      <c r="G216" t="s">
        <v>375</v>
      </c>
      <c r="H216">
        <v>3.71</v>
      </c>
      <c r="I216">
        <v>7.67</v>
      </c>
      <c r="J216">
        <v>17.23</v>
      </c>
      <c r="K216">
        <v>0.95</v>
      </c>
      <c r="L216">
        <v>1.75</v>
      </c>
      <c r="M216">
        <v>6</v>
      </c>
      <c r="N216" t="s">
        <v>365</v>
      </c>
      <c r="O216">
        <v>0</v>
      </c>
      <c r="P216" t="s">
        <v>32</v>
      </c>
      <c r="Q216" t="s">
        <v>110</v>
      </c>
      <c r="R216">
        <v>4.8</v>
      </c>
      <c r="S216">
        <v>35.5</v>
      </c>
      <c r="T216">
        <v>15.6</v>
      </c>
    </row>
    <row r="217" spans="1:20" x14ac:dyDescent="0.3">
      <c r="A217" t="s">
        <v>394</v>
      </c>
      <c r="B217">
        <v>1000</v>
      </c>
      <c r="C217">
        <v>5000</v>
      </c>
      <c r="D217">
        <v>1</v>
      </c>
      <c r="E217">
        <v>727</v>
      </c>
      <c r="F217">
        <v>10</v>
      </c>
      <c r="G217" t="s">
        <v>364</v>
      </c>
      <c r="H217">
        <v>4.55</v>
      </c>
      <c r="I217">
        <v>14.15</v>
      </c>
      <c r="J217">
        <v>16.649999999999999</v>
      </c>
      <c r="K217">
        <v>0.6</v>
      </c>
      <c r="L217">
        <v>2</v>
      </c>
      <c r="M217">
        <v>6</v>
      </c>
      <c r="N217" t="s">
        <v>365</v>
      </c>
      <c r="O217">
        <v>4</v>
      </c>
      <c r="P217" t="s">
        <v>32</v>
      </c>
      <c r="Q217" t="s">
        <v>33</v>
      </c>
      <c r="R217">
        <v>23.2</v>
      </c>
      <c r="S217">
        <v>39.700000000000003</v>
      </c>
      <c r="T217">
        <v>13.9</v>
      </c>
    </row>
    <row r="218" spans="1:20" x14ac:dyDescent="0.3">
      <c r="A218" t="s">
        <v>395</v>
      </c>
      <c r="B218">
        <v>1000</v>
      </c>
      <c r="C218">
        <v>100</v>
      </c>
      <c r="D218">
        <v>0.15</v>
      </c>
      <c r="E218">
        <v>33220</v>
      </c>
      <c r="F218">
        <v>10</v>
      </c>
      <c r="G218" t="s">
        <v>367</v>
      </c>
      <c r="H218">
        <v>3.68</v>
      </c>
      <c r="I218">
        <v>1.33</v>
      </c>
      <c r="J218">
        <v>0.38</v>
      </c>
      <c r="K218">
        <v>0.76</v>
      </c>
      <c r="L218">
        <v>0.85</v>
      </c>
      <c r="M218">
        <v>3</v>
      </c>
      <c r="N218" t="s">
        <v>365</v>
      </c>
      <c r="O218">
        <v>2</v>
      </c>
      <c r="P218" t="s">
        <v>34</v>
      </c>
      <c r="Q218" t="s">
        <v>51</v>
      </c>
      <c r="R218">
        <v>5.6</v>
      </c>
      <c r="S218">
        <v>4.3</v>
      </c>
      <c r="T218">
        <v>5.3</v>
      </c>
    </row>
    <row r="219" spans="1:20" x14ac:dyDescent="0.3">
      <c r="A219" t="s">
        <v>396</v>
      </c>
      <c r="B219">
        <v>1000</v>
      </c>
      <c r="C219">
        <v>5000</v>
      </c>
      <c r="D219">
        <v>0.43</v>
      </c>
      <c r="E219">
        <v>7420</v>
      </c>
      <c r="F219">
        <v>10</v>
      </c>
      <c r="G219" t="s">
        <v>367</v>
      </c>
      <c r="H219">
        <v>2.67</v>
      </c>
      <c r="I219">
        <v>2.9</v>
      </c>
      <c r="J219">
        <v>1.3</v>
      </c>
      <c r="K219">
        <v>0.78</v>
      </c>
      <c r="L219">
        <v>1.43</v>
      </c>
      <c r="M219">
        <v>3</v>
      </c>
      <c r="N219" t="s">
        <v>365</v>
      </c>
      <c r="O219">
        <v>3</v>
      </c>
      <c r="P219" t="s">
        <v>34</v>
      </c>
      <c r="Q219" t="s">
        <v>52</v>
      </c>
      <c r="R219">
        <v>5.4</v>
      </c>
      <c r="S219">
        <v>6.2</v>
      </c>
      <c r="T219">
        <v>6.9</v>
      </c>
    </row>
    <row r="220" spans="1:20" x14ac:dyDescent="0.3">
      <c r="A220" t="s">
        <v>397</v>
      </c>
      <c r="B220">
        <v>1000</v>
      </c>
      <c r="C220">
        <v>5000</v>
      </c>
      <c r="D220">
        <v>0.57999999999999996</v>
      </c>
      <c r="E220">
        <v>1934</v>
      </c>
      <c r="F220">
        <v>9</v>
      </c>
      <c r="G220" t="s">
        <v>367</v>
      </c>
      <c r="H220">
        <v>0.71</v>
      </c>
      <c r="I220">
        <v>2.04</v>
      </c>
      <c r="J220">
        <v>3.41</v>
      </c>
      <c r="K220">
        <v>0.79</v>
      </c>
      <c r="L220">
        <v>0.66</v>
      </c>
      <c r="M220">
        <v>3</v>
      </c>
      <c r="N220" t="s">
        <v>365</v>
      </c>
      <c r="O220">
        <v>4</v>
      </c>
      <c r="P220" t="s">
        <v>34</v>
      </c>
      <c r="Q220" t="s">
        <v>53</v>
      </c>
      <c r="R220">
        <v>4</v>
      </c>
      <c r="S220">
        <v>7</v>
      </c>
      <c r="T220">
        <v>6.6</v>
      </c>
    </row>
    <row r="221" spans="1:20" x14ac:dyDescent="0.3">
      <c r="A221" t="s">
        <v>398</v>
      </c>
      <c r="B221">
        <v>0</v>
      </c>
      <c r="C221">
        <v>5000</v>
      </c>
      <c r="D221">
        <v>0.26</v>
      </c>
      <c r="E221">
        <v>14248</v>
      </c>
      <c r="F221">
        <v>10</v>
      </c>
      <c r="G221" t="s">
        <v>367</v>
      </c>
      <c r="H221">
        <v>4.43</v>
      </c>
      <c r="I221">
        <v>2.59</v>
      </c>
      <c r="J221">
        <v>0.51</v>
      </c>
      <c r="K221">
        <v>1.2</v>
      </c>
      <c r="L221">
        <v>1.92</v>
      </c>
      <c r="M221">
        <v>3</v>
      </c>
      <c r="N221" t="s">
        <v>365</v>
      </c>
      <c r="O221">
        <v>3</v>
      </c>
      <c r="P221" t="s">
        <v>34</v>
      </c>
      <c r="Q221" t="s">
        <v>55</v>
      </c>
      <c r="R221">
        <v>5.6</v>
      </c>
      <c r="S221">
        <v>5.0999999999999996</v>
      </c>
      <c r="T221">
        <v>6.1</v>
      </c>
    </row>
    <row r="222" spans="1:20" x14ac:dyDescent="0.3">
      <c r="A222" t="s">
        <v>399</v>
      </c>
      <c r="B222">
        <v>1000</v>
      </c>
      <c r="C222">
        <v>5000</v>
      </c>
      <c r="D222">
        <v>0.13</v>
      </c>
      <c r="E222">
        <v>783</v>
      </c>
      <c r="F222">
        <v>10</v>
      </c>
      <c r="G222" t="s">
        <v>375</v>
      </c>
      <c r="H222">
        <v>4.33</v>
      </c>
      <c r="I222">
        <v>8.0399999999999991</v>
      </c>
      <c r="J222">
        <v>10.99</v>
      </c>
      <c r="K222">
        <v>0.7</v>
      </c>
      <c r="L222">
        <v>1.91</v>
      </c>
      <c r="M222">
        <v>5</v>
      </c>
      <c r="N222" t="s">
        <v>365</v>
      </c>
      <c r="O222">
        <v>0</v>
      </c>
      <c r="P222" t="s">
        <v>23</v>
      </c>
      <c r="Q222" t="s">
        <v>24</v>
      </c>
      <c r="R222">
        <v>11.2</v>
      </c>
      <c r="S222">
        <v>25</v>
      </c>
      <c r="T222">
        <v>15.3</v>
      </c>
    </row>
    <row r="223" spans="1:20" x14ac:dyDescent="0.3">
      <c r="A223" t="s">
        <v>400</v>
      </c>
      <c r="B223">
        <v>0</v>
      </c>
      <c r="C223">
        <v>5000</v>
      </c>
      <c r="D223">
        <v>7.0000000000000007E-2</v>
      </c>
      <c r="E223">
        <v>8999</v>
      </c>
      <c r="F223">
        <v>4</v>
      </c>
      <c r="G223" t="s">
        <v>367</v>
      </c>
      <c r="H223">
        <v>-0.1</v>
      </c>
      <c r="I223">
        <v>0.56000000000000005</v>
      </c>
      <c r="J223">
        <v>0.35</v>
      </c>
      <c r="K223">
        <v>0.42</v>
      </c>
      <c r="L223">
        <v>-0.02</v>
      </c>
      <c r="M223">
        <v>1</v>
      </c>
      <c r="N223" t="s">
        <v>365</v>
      </c>
      <c r="O223">
        <v>3</v>
      </c>
      <c r="P223" t="s">
        <v>34</v>
      </c>
      <c r="Q223" t="s">
        <v>57</v>
      </c>
      <c r="R223">
        <v>5.4</v>
      </c>
      <c r="S223">
        <v>3.9</v>
      </c>
    </row>
    <row r="224" spans="1:20" x14ac:dyDescent="0.3">
      <c r="A224" t="s">
        <v>401</v>
      </c>
      <c r="B224">
        <v>1000</v>
      </c>
      <c r="C224">
        <v>5000</v>
      </c>
      <c r="D224">
        <v>0.37</v>
      </c>
      <c r="E224">
        <v>12325</v>
      </c>
      <c r="F224">
        <v>10</v>
      </c>
      <c r="G224" t="s">
        <v>367</v>
      </c>
      <c r="H224">
        <v>4.1399999999999997</v>
      </c>
      <c r="I224">
        <v>2.57</v>
      </c>
      <c r="J224">
        <v>0.57999999999999996</v>
      </c>
      <c r="K224">
        <v>1.1200000000000001</v>
      </c>
      <c r="L224">
        <v>1.85</v>
      </c>
      <c r="M224">
        <v>3</v>
      </c>
      <c r="N224" t="s">
        <v>365</v>
      </c>
      <c r="O224">
        <v>3</v>
      </c>
      <c r="P224" t="s">
        <v>34</v>
      </c>
      <c r="Q224" t="s">
        <v>61</v>
      </c>
      <c r="R224">
        <v>5.5</v>
      </c>
      <c r="S224">
        <v>5.2</v>
      </c>
      <c r="T224">
        <v>6.2</v>
      </c>
    </row>
    <row r="225" spans="1:20" x14ac:dyDescent="0.3">
      <c r="A225" t="s">
        <v>402</v>
      </c>
      <c r="B225">
        <v>500</v>
      </c>
      <c r="C225">
        <v>500</v>
      </c>
      <c r="D225">
        <v>0.59</v>
      </c>
      <c r="E225">
        <v>8617</v>
      </c>
      <c r="F225">
        <v>10</v>
      </c>
      <c r="G225" t="s">
        <v>378</v>
      </c>
      <c r="H225">
        <v>4.0599999999999996</v>
      </c>
      <c r="I225">
        <v>8.99</v>
      </c>
      <c r="J225">
        <v>18.260000000000002</v>
      </c>
      <c r="K225">
        <v>0.81</v>
      </c>
      <c r="L225">
        <v>1.98</v>
      </c>
      <c r="M225">
        <v>6</v>
      </c>
      <c r="N225" t="s">
        <v>365</v>
      </c>
      <c r="O225">
        <v>4</v>
      </c>
      <c r="P225" t="s">
        <v>32</v>
      </c>
      <c r="Q225" t="s">
        <v>63</v>
      </c>
      <c r="R225">
        <v>-0.7</v>
      </c>
      <c r="S225">
        <v>43.1</v>
      </c>
      <c r="T225">
        <v>17</v>
      </c>
    </row>
    <row r="226" spans="1:20" x14ac:dyDescent="0.3">
      <c r="A226" t="s">
        <v>403</v>
      </c>
      <c r="B226">
        <v>500</v>
      </c>
      <c r="C226">
        <v>500</v>
      </c>
      <c r="D226">
        <v>0.69</v>
      </c>
      <c r="E226">
        <v>3167</v>
      </c>
      <c r="F226">
        <v>10</v>
      </c>
      <c r="G226" t="s">
        <v>383</v>
      </c>
      <c r="H226">
        <v>3.36</v>
      </c>
      <c r="I226">
        <v>4.6900000000000004</v>
      </c>
      <c r="J226">
        <v>14.44</v>
      </c>
      <c r="K226">
        <v>0.83</v>
      </c>
      <c r="L226">
        <v>1.68</v>
      </c>
      <c r="M226">
        <v>6</v>
      </c>
      <c r="N226" t="s">
        <v>365</v>
      </c>
      <c r="O226">
        <v>4</v>
      </c>
      <c r="P226" t="s">
        <v>32</v>
      </c>
      <c r="Q226" t="s">
        <v>64</v>
      </c>
      <c r="R226">
        <v>5</v>
      </c>
      <c r="S226">
        <v>28.9</v>
      </c>
      <c r="T226">
        <v>14.4</v>
      </c>
    </row>
    <row r="227" spans="1:20" x14ac:dyDescent="0.3">
      <c r="A227" t="s">
        <v>404</v>
      </c>
      <c r="B227">
        <v>500</v>
      </c>
      <c r="C227">
        <v>5000</v>
      </c>
      <c r="D227">
        <v>1.0900000000000001</v>
      </c>
      <c r="E227">
        <v>946</v>
      </c>
      <c r="F227">
        <v>4</v>
      </c>
      <c r="G227" t="s">
        <v>231</v>
      </c>
      <c r="H227" t="s">
        <v>36</v>
      </c>
      <c r="I227" t="s">
        <v>36</v>
      </c>
      <c r="J227" t="s">
        <v>36</v>
      </c>
      <c r="K227" t="s">
        <v>36</v>
      </c>
      <c r="L227" t="s">
        <v>36</v>
      </c>
      <c r="M227">
        <v>6</v>
      </c>
      <c r="N227" t="s">
        <v>405</v>
      </c>
      <c r="O227">
        <v>3</v>
      </c>
      <c r="P227" t="s">
        <v>32</v>
      </c>
      <c r="Q227" t="s">
        <v>46</v>
      </c>
      <c r="R227">
        <v>-0.7</v>
      </c>
      <c r="S227">
        <v>33.700000000000003</v>
      </c>
      <c r="T227">
        <v>11.3</v>
      </c>
    </row>
    <row r="228" spans="1:20" x14ac:dyDescent="0.3">
      <c r="A228" t="s">
        <v>406</v>
      </c>
      <c r="B228">
        <v>500</v>
      </c>
      <c r="C228">
        <v>5000</v>
      </c>
      <c r="D228">
        <v>1.49</v>
      </c>
      <c r="E228">
        <v>757</v>
      </c>
      <c r="F228">
        <v>10</v>
      </c>
      <c r="G228" t="s">
        <v>231</v>
      </c>
      <c r="H228">
        <v>2.6</v>
      </c>
      <c r="I228">
        <v>-2.34</v>
      </c>
      <c r="J228">
        <v>16.62</v>
      </c>
      <c r="K228">
        <v>0.97</v>
      </c>
      <c r="L228">
        <v>1.18</v>
      </c>
      <c r="M228">
        <v>6</v>
      </c>
      <c r="N228" t="s">
        <v>405</v>
      </c>
      <c r="O228">
        <v>2</v>
      </c>
      <c r="P228" t="s">
        <v>32</v>
      </c>
      <c r="Q228" t="s">
        <v>47</v>
      </c>
      <c r="R228">
        <v>0.8</v>
      </c>
      <c r="S228">
        <v>33</v>
      </c>
      <c r="T228">
        <v>12.1</v>
      </c>
    </row>
    <row r="229" spans="1:20" x14ac:dyDescent="0.3">
      <c r="A229" t="s">
        <v>407</v>
      </c>
      <c r="B229">
        <v>1000</v>
      </c>
      <c r="C229">
        <v>5000</v>
      </c>
      <c r="D229">
        <v>0.31</v>
      </c>
      <c r="E229">
        <v>27</v>
      </c>
      <c r="F229">
        <v>4</v>
      </c>
      <c r="G229" t="s">
        <v>408</v>
      </c>
      <c r="H229">
        <v>0.67</v>
      </c>
      <c r="I229">
        <v>1.23</v>
      </c>
      <c r="J229">
        <v>0.78</v>
      </c>
      <c r="K229">
        <v>0.6</v>
      </c>
      <c r="L229">
        <v>0.55000000000000004</v>
      </c>
      <c r="M229">
        <v>1</v>
      </c>
      <c r="N229" t="s">
        <v>409</v>
      </c>
      <c r="O229">
        <v>2</v>
      </c>
      <c r="P229" t="s">
        <v>27</v>
      </c>
      <c r="Q229" t="s">
        <v>28</v>
      </c>
      <c r="R229">
        <v>5.5</v>
      </c>
      <c r="S229">
        <v>4.4000000000000004</v>
      </c>
    </row>
    <row r="230" spans="1:20" x14ac:dyDescent="0.3">
      <c r="A230" t="s">
        <v>410</v>
      </c>
      <c r="B230">
        <v>1000</v>
      </c>
      <c r="C230">
        <v>5000</v>
      </c>
      <c r="D230">
        <v>1.54</v>
      </c>
      <c r="E230">
        <v>121</v>
      </c>
      <c r="F230">
        <v>8</v>
      </c>
      <c r="G230" t="s">
        <v>408</v>
      </c>
      <c r="H230">
        <v>2.19</v>
      </c>
      <c r="I230">
        <v>0.9</v>
      </c>
      <c r="J230">
        <v>22.14</v>
      </c>
      <c r="K230">
        <v>0.85</v>
      </c>
      <c r="L230">
        <v>0.97</v>
      </c>
      <c r="M230">
        <v>6</v>
      </c>
      <c r="N230" t="s">
        <v>409</v>
      </c>
      <c r="O230">
        <v>2</v>
      </c>
      <c r="P230" t="s">
        <v>32</v>
      </c>
      <c r="Q230" t="s">
        <v>33</v>
      </c>
      <c r="R230">
        <v>13.9</v>
      </c>
      <c r="S230">
        <v>22.7</v>
      </c>
      <c r="T230">
        <v>8.5</v>
      </c>
    </row>
    <row r="231" spans="1:20" x14ac:dyDescent="0.3">
      <c r="A231" t="s">
        <v>411</v>
      </c>
      <c r="B231">
        <v>1000</v>
      </c>
      <c r="C231">
        <v>5000</v>
      </c>
      <c r="D231">
        <v>0.28000000000000003</v>
      </c>
      <c r="E231">
        <v>1190</v>
      </c>
      <c r="F231">
        <v>10</v>
      </c>
      <c r="G231" t="s">
        <v>412</v>
      </c>
      <c r="H231">
        <v>1.49</v>
      </c>
      <c r="I231">
        <v>3.94</v>
      </c>
      <c r="J231">
        <v>1.53</v>
      </c>
      <c r="K231">
        <v>2.0499999999999998</v>
      </c>
      <c r="L231">
        <v>0.78</v>
      </c>
      <c r="M231">
        <v>2</v>
      </c>
      <c r="N231" t="s">
        <v>409</v>
      </c>
      <c r="O231">
        <v>3</v>
      </c>
      <c r="P231" t="s">
        <v>34</v>
      </c>
      <c r="Q231" t="s">
        <v>35</v>
      </c>
      <c r="R231">
        <v>4.2</v>
      </c>
      <c r="S231">
        <v>5.7</v>
      </c>
      <c r="T231">
        <v>6.8</v>
      </c>
    </row>
    <row r="232" spans="1:20" x14ac:dyDescent="0.3">
      <c r="A232" t="s">
        <v>413</v>
      </c>
      <c r="B232">
        <v>1000</v>
      </c>
      <c r="C232">
        <v>5000</v>
      </c>
      <c r="D232">
        <v>0.21</v>
      </c>
      <c r="E232">
        <v>111</v>
      </c>
      <c r="F232">
        <v>10</v>
      </c>
      <c r="G232" t="s">
        <v>412</v>
      </c>
      <c r="H232">
        <v>0.32</v>
      </c>
      <c r="I232">
        <v>0.23</v>
      </c>
      <c r="J232">
        <v>2.6</v>
      </c>
      <c r="K232">
        <v>1.24</v>
      </c>
      <c r="L232">
        <v>0.22</v>
      </c>
      <c r="M232">
        <v>3</v>
      </c>
      <c r="N232" t="s">
        <v>409</v>
      </c>
      <c r="O232">
        <v>2</v>
      </c>
      <c r="P232" t="s">
        <v>34</v>
      </c>
      <c r="Q232" t="s">
        <v>50</v>
      </c>
      <c r="R232">
        <v>4.4000000000000004</v>
      </c>
      <c r="S232">
        <v>4.7</v>
      </c>
      <c r="T232">
        <v>6.2</v>
      </c>
    </row>
    <row r="233" spans="1:20" x14ac:dyDescent="0.3">
      <c r="A233" t="s">
        <v>414</v>
      </c>
      <c r="B233">
        <v>1000</v>
      </c>
      <c r="C233">
        <v>5000</v>
      </c>
      <c r="D233">
        <v>1.86</v>
      </c>
      <c r="E233">
        <v>12</v>
      </c>
      <c r="F233">
        <v>10</v>
      </c>
      <c r="G233" t="s">
        <v>415</v>
      </c>
      <c r="H233">
        <v>2.54</v>
      </c>
      <c r="I233">
        <v>-3.65</v>
      </c>
      <c r="J233">
        <v>13.05</v>
      </c>
      <c r="K233">
        <v>0.9</v>
      </c>
      <c r="L233">
        <v>0.99</v>
      </c>
      <c r="M233">
        <v>6</v>
      </c>
      <c r="N233" t="s">
        <v>409</v>
      </c>
      <c r="O233">
        <v>1</v>
      </c>
      <c r="P233" t="s">
        <v>29</v>
      </c>
      <c r="Q233" t="s">
        <v>30</v>
      </c>
      <c r="R233">
        <v>-1.9</v>
      </c>
      <c r="S233">
        <v>17.100000000000001</v>
      </c>
      <c r="T233">
        <v>7.6</v>
      </c>
    </row>
    <row r="234" spans="1:20" x14ac:dyDescent="0.3">
      <c r="A234" t="s">
        <v>416</v>
      </c>
      <c r="B234">
        <v>1000</v>
      </c>
      <c r="C234">
        <v>5000</v>
      </c>
      <c r="D234">
        <v>1.34</v>
      </c>
      <c r="E234">
        <v>61</v>
      </c>
      <c r="F234">
        <v>10</v>
      </c>
      <c r="G234" t="s">
        <v>415</v>
      </c>
      <c r="H234">
        <v>2.11</v>
      </c>
      <c r="I234">
        <v>-0.54</v>
      </c>
      <c r="J234">
        <v>4.1399999999999997</v>
      </c>
      <c r="K234">
        <v>0.61</v>
      </c>
      <c r="L234">
        <v>0.92</v>
      </c>
      <c r="M234">
        <v>4</v>
      </c>
      <c r="N234" t="s">
        <v>409</v>
      </c>
      <c r="O234">
        <v>3</v>
      </c>
      <c r="P234" t="s">
        <v>27</v>
      </c>
      <c r="Q234" t="s">
        <v>59</v>
      </c>
      <c r="R234">
        <v>2.5</v>
      </c>
      <c r="S234">
        <v>8.1</v>
      </c>
      <c r="T234">
        <v>6.7</v>
      </c>
    </row>
    <row r="235" spans="1:20" x14ac:dyDescent="0.3">
      <c r="A235" t="s">
        <v>417</v>
      </c>
      <c r="B235">
        <v>1000</v>
      </c>
      <c r="C235">
        <v>5000</v>
      </c>
      <c r="D235">
        <v>1.43</v>
      </c>
      <c r="E235">
        <v>378</v>
      </c>
      <c r="F235">
        <v>10</v>
      </c>
      <c r="G235" t="s">
        <v>415</v>
      </c>
      <c r="H235">
        <v>2.2599999999999998</v>
      </c>
      <c r="I235">
        <v>-2.85</v>
      </c>
      <c r="J235">
        <v>11.49</v>
      </c>
      <c r="K235">
        <v>0.77</v>
      </c>
      <c r="L235">
        <v>0.99</v>
      </c>
      <c r="M235">
        <v>6</v>
      </c>
      <c r="N235" t="s">
        <v>409</v>
      </c>
      <c r="O235">
        <v>1</v>
      </c>
      <c r="P235" t="s">
        <v>27</v>
      </c>
      <c r="Q235" t="s">
        <v>42</v>
      </c>
      <c r="R235">
        <v>-0.5</v>
      </c>
      <c r="S235">
        <v>15.1</v>
      </c>
      <c r="T235">
        <v>8.3000000000000007</v>
      </c>
    </row>
    <row r="236" spans="1:20" x14ac:dyDescent="0.3">
      <c r="A236" t="s">
        <v>418</v>
      </c>
      <c r="B236">
        <v>1000</v>
      </c>
      <c r="C236">
        <v>5000</v>
      </c>
      <c r="D236">
        <v>1.74</v>
      </c>
      <c r="E236">
        <v>383</v>
      </c>
      <c r="F236">
        <v>10</v>
      </c>
      <c r="G236" t="s">
        <v>419</v>
      </c>
      <c r="H236">
        <v>2.15</v>
      </c>
      <c r="I236">
        <v>-4.3099999999999996</v>
      </c>
      <c r="J236">
        <v>14.27</v>
      </c>
      <c r="K236">
        <v>0.8</v>
      </c>
      <c r="L236">
        <v>1.02</v>
      </c>
      <c r="M236">
        <v>6</v>
      </c>
      <c r="N236" t="s">
        <v>409</v>
      </c>
      <c r="O236">
        <v>2</v>
      </c>
      <c r="P236" t="s">
        <v>32</v>
      </c>
      <c r="Q236" t="s">
        <v>44</v>
      </c>
      <c r="R236">
        <v>-0.9</v>
      </c>
      <c r="S236">
        <v>18.3</v>
      </c>
      <c r="T236">
        <v>8.8000000000000007</v>
      </c>
    </row>
    <row r="237" spans="1:20" x14ac:dyDescent="0.3">
      <c r="A237" t="s">
        <v>420</v>
      </c>
      <c r="B237">
        <v>1000</v>
      </c>
      <c r="C237">
        <v>10000</v>
      </c>
      <c r="D237">
        <v>0.76</v>
      </c>
      <c r="E237">
        <v>46</v>
      </c>
      <c r="F237">
        <v>10</v>
      </c>
      <c r="G237" t="s">
        <v>412</v>
      </c>
      <c r="H237">
        <v>0.51</v>
      </c>
      <c r="I237">
        <v>0.27</v>
      </c>
      <c r="J237">
        <v>2.23</v>
      </c>
      <c r="K237">
        <v>0.45</v>
      </c>
      <c r="L237">
        <v>0.35</v>
      </c>
      <c r="M237">
        <v>2</v>
      </c>
      <c r="N237" t="s">
        <v>409</v>
      </c>
      <c r="O237">
        <v>3</v>
      </c>
      <c r="P237" t="s">
        <v>34</v>
      </c>
      <c r="Q237" t="s">
        <v>49</v>
      </c>
      <c r="R237">
        <v>3.3</v>
      </c>
      <c r="S237">
        <v>4.9000000000000004</v>
      </c>
      <c r="T237">
        <v>7.7</v>
      </c>
    </row>
    <row r="238" spans="1:20" x14ac:dyDescent="0.3">
      <c r="A238" t="s">
        <v>421</v>
      </c>
      <c r="B238">
        <v>1000</v>
      </c>
      <c r="C238">
        <v>5000</v>
      </c>
      <c r="D238">
        <v>1.47</v>
      </c>
      <c r="E238">
        <v>90</v>
      </c>
      <c r="F238">
        <v>10</v>
      </c>
      <c r="G238" t="s">
        <v>422</v>
      </c>
      <c r="H238">
        <v>3.89</v>
      </c>
      <c r="I238">
        <v>7.11</v>
      </c>
      <c r="J238">
        <v>16.12</v>
      </c>
      <c r="K238">
        <v>0.56999999999999995</v>
      </c>
      <c r="L238">
        <v>1.56</v>
      </c>
      <c r="M238">
        <v>6</v>
      </c>
      <c r="N238" t="s">
        <v>409</v>
      </c>
      <c r="O238">
        <v>3</v>
      </c>
      <c r="P238" t="s">
        <v>32</v>
      </c>
      <c r="Q238" t="s">
        <v>33</v>
      </c>
      <c r="R238">
        <v>6.7</v>
      </c>
      <c r="S238">
        <v>29.8</v>
      </c>
      <c r="T238">
        <v>11.2</v>
      </c>
    </row>
    <row r="239" spans="1:20" x14ac:dyDescent="0.3">
      <c r="A239" t="s">
        <v>423</v>
      </c>
      <c r="B239">
        <v>1000</v>
      </c>
      <c r="C239">
        <v>5000</v>
      </c>
      <c r="D239">
        <v>0.84</v>
      </c>
      <c r="E239">
        <v>1888</v>
      </c>
      <c r="F239">
        <v>8</v>
      </c>
      <c r="G239" t="s">
        <v>422</v>
      </c>
      <c r="H239">
        <v>2.59</v>
      </c>
      <c r="I239">
        <v>0.78</v>
      </c>
      <c r="J239">
        <v>14.89</v>
      </c>
      <c r="K239">
        <v>0.84</v>
      </c>
      <c r="L239">
        <v>1.34</v>
      </c>
      <c r="M239">
        <v>6</v>
      </c>
      <c r="N239" t="s">
        <v>409</v>
      </c>
      <c r="O239">
        <v>3</v>
      </c>
      <c r="P239" t="s">
        <v>32</v>
      </c>
      <c r="Q239" t="s">
        <v>41</v>
      </c>
      <c r="R239">
        <v>-4.3</v>
      </c>
      <c r="S239">
        <v>22.8</v>
      </c>
      <c r="T239">
        <v>10.9</v>
      </c>
    </row>
    <row r="240" spans="1:20" x14ac:dyDescent="0.3">
      <c r="A240" t="s">
        <v>424</v>
      </c>
      <c r="B240">
        <v>500</v>
      </c>
      <c r="C240">
        <v>1000</v>
      </c>
      <c r="D240">
        <v>0.65</v>
      </c>
      <c r="E240">
        <v>615</v>
      </c>
      <c r="F240">
        <v>4</v>
      </c>
      <c r="G240" t="s">
        <v>425</v>
      </c>
      <c r="H240">
        <v>3.57</v>
      </c>
      <c r="I240">
        <v>4.5199999999999996</v>
      </c>
      <c r="J240">
        <v>12.44</v>
      </c>
      <c r="K240">
        <v>0.85</v>
      </c>
      <c r="L240">
        <v>1.62</v>
      </c>
      <c r="M240">
        <v>6</v>
      </c>
      <c r="N240" t="s">
        <v>426</v>
      </c>
      <c r="O240">
        <v>4</v>
      </c>
      <c r="P240" t="s">
        <v>27</v>
      </c>
      <c r="Q240" t="s">
        <v>42</v>
      </c>
      <c r="R240">
        <v>2.7</v>
      </c>
      <c r="S240">
        <v>24.6</v>
      </c>
    </row>
    <row r="241" spans="1:20" x14ac:dyDescent="0.3">
      <c r="A241" t="s">
        <v>427</v>
      </c>
      <c r="B241">
        <v>500</v>
      </c>
      <c r="C241">
        <v>1000</v>
      </c>
      <c r="D241">
        <v>0.82</v>
      </c>
      <c r="E241">
        <v>54</v>
      </c>
      <c r="F241">
        <v>4</v>
      </c>
      <c r="G241" t="s">
        <v>428</v>
      </c>
      <c r="H241">
        <v>2.76</v>
      </c>
      <c r="I241">
        <v>0.66</v>
      </c>
      <c r="J241">
        <v>14.14</v>
      </c>
      <c r="K241">
        <v>0.77</v>
      </c>
      <c r="L241">
        <v>1.33</v>
      </c>
      <c r="M241">
        <v>6</v>
      </c>
      <c r="N241" t="s">
        <v>426</v>
      </c>
      <c r="O241">
        <v>0</v>
      </c>
      <c r="P241" t="s">
        <v>32</v>
      </c>
      <c r="Q241" t="s">
        <v>33</v>
      </c>
      <c r="R241">
        <v>5.7</v>
      </c>
      <c r="S241">
        <v>21.3</v>
      </c>
    </row>
    <row r="242" spans="1:20" x14ac:dyDescent="0.3">
      <c r="A242" t="s">
        <v>429</v>
      </c>
      <c r="B242">
        <v>500</v>
      </c>
      <c r="C242">
        <v>1000</v>
      </c>
      <c r="D242">
        <v>0.51</v>
      </c>
      <c r="E242">
        <v>66</v>
      </c>
      <c r="F242">
        <v>5</v>
      </c>
      <c r="G242" t="s">
        <v>430</v>
      </c>
      <c r="H242">
        <v>-0.01</v>
      </c>
      <c r="I242">
        <v>-0.19</v>
      </c>
      <c r="J242">
        <v>1.7</v>
      </c>
      <c r="K242">
        <v>0.65</v>
      </c>
      <c r="L242">
        <v>-0.01</v>
      </c>
      <c r="M242">
        <v>3</v>
      </c>
      <c r="N242" t="s">
        <v>426</v>
      </c>
      <c r="O242">
        <v>2</v>
      </c>
      <c r="P242" t="s">
        <v>34</v>
      </c>
      <c r="Q242" t="s">
        <v>40</v>
      </c>
      <c r="R242">
        <v>3.4</v>
      </c>
      <c r="S242">
        <v>4.4000000000000004</v>
      </c>
    </row>
    <row r="243" spans="1:20" x14ac:dyDescent="0.3">
      <c r="A243" t="s">
        <v>431</v>
      </c>
      <c r="B243">
        <v>500</v>
      </c>
      <c r="C243">
        <v>500</v>
      </c>
      <c r="D243">
        <v>0.73</v>
      </c>
      <c r="E243">
        <v>525</v>
      </c>
      <c r="F243">
        <v>6</v>
      </c>
      <c r="G243" t="s">
        <v>425</v>
      </c>
      <c r="H243">
        <v>3.64</v>
      </c>
      <c r="I243">
        <v>2.66</v>
      </c>
      <c r="J243">
        <v>16.21</v>
      </c>
      <c r="K243">
        <v>0.94</v>
      </c>
      <c r="L243">
        <v>1.53</v>
      </c>
      <c r="M243">
        <v>6</v>
      </c>
      <c r="N243" t="s">
        <v>426</v>
      </c>
      <c r="O243">
        <v>3</v>
      </c>
      <c r="P243" t="s">
        <v>32</v>
      </c>
      <c r="Q243" t="s">
        <v>64</v>
      </c>
      <c r="R243">
        <v>2.2999999999999998</v>
      </c>
      <c r="S243">
        <v>29.3</v>
      </c>
      <c r="T243">
        <v>12</v>
      </c>
    </row>
    <row r="244" spans="1:20" x14ac:dyDescent="0.3">
      <c r="A244" t="s">
        <v>432</v>
      </c>
      <c r="B244">
        <v>500</v>
      </c>
      <c r="C244">
        <v>1000</v>
      </c>
      <c r="D244">
        <v>0.7</v>
      </c>
      <c r="E244">
        <v>418</v>
      </c>
      <c r="F244">
        <v>6</v>
      </c>
      <c r="G244" t="s">
        <v>425</v>
      </c>
      <c r="H244">
        <v>3.1</v>
      </c>
      <c r="I244">
        <v>3.84</v>
      </c>
      <c r="J244">
        <v>8.16</v>
      </c>
      <c r="K244">
        <v>1.24</v>
      </c>
      <c r="L244">
        <v>1.56</v>
      </c>
      <c r="M244">
        <v>4</v>
      </c>
      <c r="N244" t="s">
        <v>426</v>
      </c>
      <c r="O244">
        <v>4</v>
      </c>
      <c r="P244" t="s">
        <v>27</v>
      </c>
      <c r="Q244" t="s">
        <v>43</v>
      </c>
      <c r="R244">
        <v>1.7</v>
      </c>
      <c r="S244">
        <v>32.4</v>
      </c>
      <c r="T244">
        <v>13.3</v>
      </c>
    </row>
    <row r="245" spans="1:20" x14ac:dyDescent="0.3">
      <c r="A245" t="s">
        <v>433</v>
      </c>
      <c r="B245">
        <v>500</v>
      </c>
      <c r="C245">
        <v>1000</v>
      </c>
      <c r="D245">
        <v>0.51</v>
      </c>
      <c r="E245">
        <v>1056</v>
      </c>
      <c r="F245">
        <v>3</v>
      </c>
      <c r="G245" t="s">
        <v>434</v>
      </c>
      <c r="H245">
        <v>3.07</v>
      </c>
      <c r="I245">
        <v>4.9800000000000004</v>
      </c>
      <c r="J245">
        <v>15.69</v>
      </c>
      <c r="K245">
        <v>0.88</v>
      </c>
      <c r="L245">
        <v>1.61</v>
      </c>
      <c r="M245">
        <v>6</v>
      </c>
      <c r="N245" t="s">
        <v>426</v>
      </c>
      <c r="O245">
        <v>5</v>
      </c>
      <c r="P245" t="s">
        <v>32</v>
      </c>
      <c r="Q245" t="s">
        <v>41</v>
      </c>
      <c r="R245">
        <v>-1.1000000000000001</v>
      </c>
      <c r="S245">
        <v>30.4</v>
      </c>
    </row>
    <row r="246" spans="1:20" x14ac:dyDescent="0.3">
      <c r="A246" t="s">
        <v>435</v>
      </c>
      <c r="B246">
        <v>500</v>
      </c>
      <c r="C246">
        <v>1000</v>
      </c>
      <c r="D246">
        <v>0.67</v>
      </c>
      <c r="E246">
        <v>215</v>
      </c>
      <c r="F246">
        <v>4</v>
      </c>
      <c r="G246" t="s">
        <v>428</v>
      </c>
      <c r="H246">
        <v>2.71</v>
      </c>
      <c r="I246">
        <v>-1.04</v>
      </c>
      <c r="J246">
        <v>15.36</v>
      </c>
      <c r="K246">
        <v>0.9</v>
      </c>
      <c r="L246">
        <v>1.25</v>
      </c>
      <c r="M246">
        <v>6</v>
      </c>
      <c r="N246" t="s">
        <v>426</v>
      </c>
      <c r="O246">
        <v>4</v>
      </c>
      <c r="P246" t="s">
        <v>32</v>
      </c>
      <c r="Q246" t="s">
        <v>47</v>
      </c>
      <c r="R246">
        <v>0.3</v>
      </c>
      <c r="S246">
        <v>25.7</v>
      </c>
    </row>
    <row r="247" spans="1:20" x14ac:dyDescent="0.3">
      <c r="A247" t="s">
        <v>436</v>
      </c>
      <c r="B247">
        <v>0</v>
      </c>
      <c r="C247">
        <v>1000</v>
      </c>
      <c r="D247">
        <v>0.15</v>
      </c>
      <c r="E247">
        <v>514</v>
      </c>
      <c r="F247">
        <v>7</v>
      </c>
      <c r="G247" t="s">
        <v>430</v>
      </c>
      <c r="H247">
        <v>5.26</v>
      </c>
      <c r="I247">
        <v>1.41</v>
      </c>
      <c r="J247">
        <v>0.37</v>
      </c>
      <c r="K247">
        <v>0.74</v>
      </c>
      <c r="L247">
        <v>1.1499999999999999</v>
      </c>
      <c r="M247">
        <v>3</v>
      </c>
      <c r="N247" t="s">
        <v>426</v>
      </c>
      <c r="O247">
        <v>5</v>
      </c>
      <c r="P247" t="s">
        <v>34</v>
      </c>
      <c r="Q247" t="s">
        <v>51</v>
      </c>
      <c r="R247">
        <v>5.7</v>
      </c>
      <c r="S247">
        <v>4.5</v>
      </c>
      <c r="T247">
        <v>5.4</v>
      </c>
    </row>
    <row r="248" spans="1:20" x14ac:dyDescent="0.3">
      <c r="A248" t="s">
        <v>437</v>
      </c>
      <c r="B248">
        <v>500</v>
      </c>
      <c r="C248">
        <v>1000</v>
      </c>
      <c r="D248">
        <v>0.37</v>
      </c>
      <c r="E248">
        <v>395</v>
      </c>
      <c r="F248">
        <v>6</v>
      </c>
      <c r="G248" t="s">
        <v>430</v>
      </c>
      <c r="H248">
        <v>3.11</v>
      </c>
      <c r="I248">
        <v>2.67</v>
      </c>
      <c r="J248">
        <v>0.76</v>
      </c>
      <c r="K248">
        <v>1.07</v>
      </c>
      <c r="L248">
        <v>1.63</v>
      </c>
      <c r="M248">
        <v>3</v>
      </c>
      <c r="N248" t="s">
        <v>426</v>
      </c>
      <c r="O248">
        <v>3</v>
      </c>
      <c r="P248" t="s">
        <v>34</v>
      </c>
      <c r="Q248" t="s">
        <v>52</v>
      </c>
      <c r="R248">
        <v>5.2</v>
      </c>
      <c r="S248">
        <v>5.5</v>
      </c>
      <c r="T248">
        <v>6.4</v>
      </c>
    </row>
    <row r="249" spans="1:20" x14ac:dyDescent="0.3">
      <c r="A249" t="s">
        <v>438</v>
      </c>
      <c r="B249">
        <v>500</v>
      </c>
      <c r="C249">
        <v>1000</v>
      </c>
      <c r="D249">
        <v>0.66</v>
      </c>
      <c r="E249">
        <v>1060</v>
      </c>
      <c r="F249">
        <v>5</v>
      </c>
      <c r="G249" t="s">
        <v>428</v>
      </c>
      <c r="H249">
        <v>2.99</v>
      </c>
      <c r="I249">
        <v>-0.01</v>
      </c>
      <c r="J249">
        <v>16.690000000000001</v>
      </c>
      <c r="K249">
        <v>0.89</v>
      </c>
      <c r="L249">
        <v>1.57</v>
      </c>
      <c r="M249">
        <v>6</v>
      </c>
      <c r="N249" t="s">
        <v>426</v>
      </c>
      <c r="O249">
        <v>3</v>
      </c>
      <c r="P249" t="s">
        <v>32</v>
      </c>
      <c r="Q249" t="s">
        <v>54</v>
      </c>
      <c r="R249">
        <v>3.7</v>
      </c>
      <c r="S249">
        <v>31</v>
      </c>
      <c r="T249">
        <v>14.7</v>
      </c>
    </row>
    <row r="250" spans="1:20" x14ac:dyDescent="0.3">
      <c r="A250" t="s">
        <v>439</v>
      </c>
      <c r="B250">
        <v>500</v>
      </c>
      <c r="C250">
        <v>1000</v>
      </c>
      <c r="D250">
        <v>0.49</v>
      </c>
      <c r="E250">
        <v>1515</v>
      </c>
      <c r="F250">
        <v>6</v>
      </c>
      <c r="G250" t="s">
        <v>425</v>
      </c>
      <c r="H250">
        <v>2.87</v>
      </c>
      <c r="I250">
        <v>4.41</v>
      </c>
      <c r="J250">
        <v>17.39</v>
      </c>
      <c r="K250">
        <v>0.98</v>
      </c>
      <c r="L250">
        <v>1.58</v>
      </c>
      <c r="M250">
        <v>6</v>
      </c>
      <c r="N250" t="s">
        <v>426</v>
      </c>
      <c r="O250">
        <v>0</v>
      </c>
      <c r="P250" t="s">
        <v>32</v>
      </c>
      <c r="Q250" t="s">
        <v>110</v>
      </c>
      <c r="R250">
        <v>1.2</v>
      </c>
      <c r="S250">
        <v>32.6</v>
      </c>
      <c r="T250">
        <v>15.8</v>
      </c>
    </row>
    <row r="251" spans="1:20" x14ac:dyDescent="0.3">
      <c r="A251" t="s">
        <v>440</v>
      </c>
      <c r="B251">
        <v>0</v>
      </c>
      <c r="C251">
        <v>1000</v>
      </c>
      <c r="D251">
        <v>0.12</v>
      </c>
      <c r="E251">
        <v>345</v>
      </c>
      <c r="F251">
        <v>4</v>
      </c>
      <c r="G251" t="s">
        <v>430</v>
      </c>
      <c r="H251">
        <v>0.52</v>
      </c>
      <c r="I251">
        <v>0.61</v>
      </c>
      <c r="J251">
        <v>0.34</v>
      </c>
      <c r="K251">
        <v>0.43</v>
      </c>
      <c r="L251">
        <v>0.1</v>
      </c>
      <c r="M251">
        <v>1</v>
      </c>
      <c r="N251" t="s">
        <v>426</v>
      </c>
      <c r="O251">
        <v>4</v>
      </c>
      <c r="P251" t="s">
        <v>34</v>
      </c>
      <c r="Q251" t="s">
        <v>57</v>
      </c>
      <c r="R251">
        <v>5.4</v>
      </c>
      <c r="S251">
        <v>3.9</v>
      </c>
    </row>
    <row r="252" spans="1:20" x14ac:dyDescent="0.3">
      <c r="A252" t="s">
        <v>441</v>
      </c>
      <c r="B252">
        <v>500</v>
      </c>
      <c r="C252">
        <v>1000</v>
      </c>
      <c r="D252">
        <v>0.28999999999999998</v>
      </c>
      <c r="E252">
        <v>43</v>
      </c>
      <c r="F252">
        <v>2</v>
      </c>
      <c r="G252" t="s">
        <v>430</v>
      </c>
      <c r="H252" t="s">
        <v>36</v>
      </c>
      <c r="I252" t="s">
        <v>36</v>
      </c>
      <c r="J252" t="s">
        <v>36</v>
      </c>
      <c r="K252" t="s">
        <v>36</v>
      </c>
      <c r="L252" t="s">
        <v>36</v>
      </c>
      <c r="M252">
        <v>3</v>
      </c>
      <c r="N252" t="s">
        <v>426</v>
      </c>
      <c r="O252">
        <v>3</v>
      </c>
      <c r="P252" t="s">
        <v>34</v>
      </c>
      <c r="Q252" t="s">
        <v>62</v>
      </c>
      <c r="R252">
        <v>4.4000000000000004</v>
      </c>
    </row>
    <row r="253" spans="1:20" x14ac:dyDescent="0.3">
      <c r="A253" t="s">
        <v>442</v>
      </c>
      <c r="B253">
        <v>500</v>
      </c>
      <c r="C253">
        <v>1000</v>
      </c>
      <c r="D253">
        <v>0.35</v>
      </c>
      <c r="E253">
        <v>170</v>
      </c>
      <c r="F253">
        <v>3</v>
      </c>
      <c r="G253" t="s">
        <v>430</v>
      </c>
      <c r="H253">
        <v>3.72</v>
      </c>
      <c r="I253">
        <v>2.38</v>
      </c>
      <c r="J253">
        <v>0.56000000000000005</v>
      </c>
      <c r="K253">
        <v>1.05</v>
      </c>
      <c r="L253">
        <v>1.74</v>
      </c>
      <c r="M253">
        <v>2</v>
      </c>
      <c r="N253" t="s">
        <v>426</v>
      </c>
      <c r="O253">
        <v>4</v>
      </c>
      <c r="P253" t="s">
        <v>34</v>
      </c>
      <c r="Q253" t="s">
        <v>61</v>
      </c>
      <c r="R253">
        <v>5.5</v>
      </c>
      <c r="S253">
        <v>5.0999999999999996</v>
      </c>
    </row>
    <row r="254" spans="1:20" x14ac:dyDescent="0.3">
      <c r="A254" t="s">
        <v>443</v>
      </c>
      <c r="B254">
        <v>1000</v>
      </c>
      <c r="C254">
        <v>5000</v>
      </c>
      <c r="D254">
        <v>0.34</v>
      </c>
      <c r="E254">
        <v>89</v>
      </c>
      <c r="F254">
        <v>3</v>
      </c>
      <c r="G254" t="s">
        <v>444</v>
      </c>
      <c r="H254" t="s">
        <v>36</v>
      </c>
      <c r="I254" t="s">
        <v>36</v>
      </c>
      <c r="J254" t="s">
        <v>36</v>
      </c>
      <c r="K254" t="s">
        <v>36</v>
      </c>
      <c r="L254" t="s">
        <v>36</v>
      </c>
      <c r="M254">
        <v>2</v>
      </c>
      <c r="N254" t="s">
        <v>445</v>
      </c>
      <c r="O254">
        <v>3</v>
      </c>
      <c r="P254" t="s">
        <v>34</v>
      </c>
      <c r="Q254" t="s">
        <v>35</v>
      </c>
      <c r="R254">
        <v>3.7</v>
      </c>
    </row>
    <row r="255" spans="1:20" x14ac:dyDescent="0.3">
      <c r="A255" t="s">
        <v>446</v>
      </c>
      <c r="B255">
        <v>1000</v>
      </c>
      <c r="C255">
        <v>5000</v>
      </c>
      <c r="D255">
        <v>0.17</v>
      </c>
      <c r="E255">
        <v>5983</v>
      </c>
      <c r="F255">
        <v>10</v>
      </c>
      <c r="G255" t="s">
        <v>447</v>
      </c>
      <c r="H255">
        <v>6.12</v>
      </c>
      <c r="I255">
        <v>1.3</v>
      </c>
      <c r="J255">
        <v>0.37</v>
      </c>
      <c r="K255">
        <v>0.7</v>
      </c>
      <c r="L255">
        <v>1</v>
      </c>
      <c r="M255">
        <v>2</v>
      </c>
      <c r="N255" t="s">
        <v>445</v>
      </c>
      <c r="O255">
        <v>3</v>
      </c>
      <c r="P255" t="s">
        <v>34</v>
      </c>
      <c r="Q255" t="s">
        <v>51</v>
      </c>
      <c r="R255">
        <v>5.6</v>
      </c>
      <c r="S255">
        <v>4.3</v>
      </c>
      <c r="T255">
        <v>5.3</v>
      </c>
    </row>
    <row r="256" spans="1:20" x14ac:dyDescent="0.3">
      <c r="A256" t="s">
        <v>448</v>
      </c>
      <c r="B256">
        <v>1000</v>
      </c>
      <c r="C256">
        <v>5000</v>
      </c>
      <c r="D256">
        <v>0.46</v>
      </c>
      <c r="E256">
        <v>57</v>
      </c>
      <c r="F256">
        <v>2</v>
      </c>
      <c r="G256" t="s">
        <v>449</v>
      </c>
      <c r="H256" t="s">
        <v>36</v>
      </c>
      <c r="I256" t="s">
        <v>36</v>
      </c>
      <c r="J256" t="s">
        <v>36</v>
      </c>
      <c r="K256" t="s">
        <v>36</v>
      </c>
      <c r="L256" t="s">
        <v>36</v>
      </c>
      <c r="M256">
        <v>2</v>
      </c>
      <c r="N256" t="s">
        <v>445</v>
      </c>
      <c r="O256">
        <v>3</v>
      </c>
      <c r="P256" t="s">
        <v>34</v>
      </c>
      <c r="Q256" t="s">
        <v>37</v>
      </c>
      <c r="R256">
        <v>3.7</v>
      </c>
    </row>
    <row r="257" spans="1:20" x14ac:dyDescent="0.3">
      <c r="A257" t="s">
        <v>450</v>
      </c>
      <c r="B257">
        <v>1000</v>
      </c>
      <c r="C257">
        <v>5000</v>
      </c>
      <c r="D257">
        <v>0.18</v>
      </c>
      <c r="E257">
        <v>213</v>
      </c>
      <c r="F257">
        <v>6</v>
      </c>
      <c r="G257" t="s">
        <v>451</v>
      </c>
      <c r="H257">
        <v>0.22</v>
      </c>
      <c r="I257">
        <v>0.15</v>
      </c>
      <c r="J257">
        <v>2.4900000000000002</v>
      </c>
      <c r="K257">
        <v>1.1399999999999999</v>
      </c>
      <c r="L257">
        <v>0.19</v>
      </c>
      <c r="M257">
        <v>3</v>
      </c>
      <c r="N257" t="s">
        <v>445</v>
      </c>
      <c r="O257">
        <v>2</v>
      </c>
      <c r="P257" t="s">
        <v>34</v>
      </c>
      <c r="Q257" t="s">
        <v>40</v>
      </c>
      <c r="R257">
        <v>2.8</v>
      </c>
      <c r="S257">
        <v>4.5</v>
      </c>
      <c r="T257">
        <v>7.2</v>
      </c>
    </row>
    <row r="258" spans="1:20" x14ac:dyDescent="0.3">
      <c r="A258" t="s">
        <v>452</v>
      </c>
      <c r="B258">
        <v>1000</v>
      </c>
      <c r="C258">
        <v>5000</v>
      </c>
      <c r="D258">
        <v>0.68</v>
      </c>
      <c r="E258">
        <v>23394</v>
      </c>
      <c r="F258">
        <v>10</v>
      </c>
      <c r="G258" t="s">
        <v>453</v>
      </c>
      <c r="H258">
        <v>3.42</v>
      </c>
      <c r="I258">
        <v>3.14</v>
      </c>
      <c r="J258">
        <v>16.510000000000002</v>
      </c>
      <c r="K258">
        <v>0.95</v>
      </c>
      <c r="L258">
        <v>1.51</v>
      </c>
      <c r="M258">
        <v>6</v>
      </c>
      <c r="N258" t="s">
        <v>445</v>
      </c>
      <c r="O258">
        <v>5</v>
      </c>
      <c r="P258" t="s">
        <v>32</v>
      </c>
      <c r="Q258" t="s">
        <v>41</v>
      </c>
      <c r="R258">
        <v>-1.2</v>
      </c>
      <c r="S258">
        <v>29.4</v>
      </c>
      <c r="T258">
        <v>15.1</v>
      </c>
    </row>
    <row r="259" spans="1:20" x14ac:dyDescent="0.3">
      <c r="A259" t="s">
        <v>454</v>
      </c>
      <c r="B259">
        <v>1000</v>
      </c>
      <c r="C259">
        <v>5000</v>
      </c>
      <c r="D259">
        <v>0.43</v>
      </c>
      <c r="E259">
        <v>573</v>
      </c>
      <c r="F259">
        <v>4</v>
      </c>
      <c r="G259" t="s">
        <v>455</v>
      </c>
      <c r="H259">
        <v>4.03</v>
      </c>
      <c r="I259">
        <v>4.3</v>
      </c>
      <c r="J259">
        <v>7.17</v>
      </c>
      <c r="K259">
        <v>1.06</v>
      </c>
      <c r="L259">
        <v>1.66</v>
      </c>
      <c r="M259">
        <v>4</v>
      </c>
      <c r="N259" t="s">
        <v>445</v>
      </c>
      <c r="O259">
        <v>5</v>
      </c>
      <c r="P259" t="s">
        <v>27</v>
      </c>
      <c r="Q259" t="s">
        <v>43</v>
      </c>
      <c r="R259">
        <v>3.7</v>
      </c>
      <c r="S259">
        <v>16.100000000000001</v>
      </c>
    </row>
    <row r="260" spans="1:20" x14ac:dyDescent="0.3">
      <c r="A260" t="s">
        <v>456</v>
      </c>
      <c r="B260">
        <v>1000</v>
      </c>
      <c r="C260">
        <v>5000</v>
      </c>
      <c r="D260">
        <v>0.59</v>
      </c>
      <c r="E260">
        <v>8615</v>
      </c>
      <c r="F260">
        <v>4</v>
      </c>
      <c r="G260" t="s">
        <v>457</v>
      </c>
      <c r="H260">
        <v>3.4</v>
      </c>
      <c r="I260">
        <v>2.4</v>
      </c>
      <c r="J260">
        <v>16.34</v>
      </c>
      <c r="K260">
        <v>0.92</v>
      </c>
      <c r="L260">
        <v>1.47</v>
      </c>
      <c r="M260">
        <v>6</v>
      </c>
      <c r="N260" t="s">
        <v>445</v>
      </c>
      <c r="O260">
        <v>4</v>
      </c>
      <c r="P260" t="s">
        <v>32</v>
      </c>
      <c r="Q260" t="s">
        <v>46</v>
      </c>
      <c r="R260">
        <v>-4.9000000000000004</v>
      </c>
      <c r="S260">
        <v>28.4</v>
      </c>
    </row>
    <row r="261" spans="1:20" x14ac:dyDescent="0.3">
      <c r="A261" t="s">
        <v>458</v>
      </c>
      <c r="B261">
        <v>1000</v>
      </c>
      <c r="C261">
        <v>5000</v>
      </c>
      <c r="D261">
        <v>0.5</v>
      </c>
      <c r="E261">
        <v>1989</v>
      </c>
      <c r="F261">
        <v>10</v>
      </c>
      <c r="G261" t="s">
        <v>459</v>
      </c>
      <c r="H261">
        <v>3.41</v>
      </c>
      <c r="I261">
        <v>6.38</v>
      </c>
      <c r="J261">
        <v>13.39</v>
      </c>
      <c r="K261">
        <v>0.7</v>
      </c>
      <c r="L261">
        <v>1.68</v>
      </c>
      <c r="M261">
        <v>6</v>
      </c>
      <c r="N261" t="s">
        <v>445</v>
      </c>
      <c r="O261">
        <v>3</v>
      </c>
      <c r="P261" t="s">
        <v>32</v>
      </c>
      <c r="Q261" t="s">
        <v>33</v>
      </c>
      <c r="R261">
        <v>8.1</v>
      </c>
      <c r="S261">
        <v>27.2</v>
      </c>
      <c r="T261">
        <v>14</v>
      </c>
    </row>
    <row r="262" spans="1:20" x14ac:dyDescent="0.3">
      <c r="A262" t="s">
        <v>460</v>
      </c>
      <c r="B262">
        <v>1000</v>
      </c>
      <c r="C262">
        <v>5000</v>
      </c>
      <c r="D262">
        <v>0.52</v>
      </c>
      <c r="E262">
        <v>1505</v>
      </c>
      <c r="F262">
        <v>5</v>
      </c>
      <c r="G262" t="s">
        <v>461</v>
      </c>
      <c r="H262">
        <v>2.23</v>
      </c>
      <c r="I262">
        <v>2.95</v>
      </c>
      <c r="J262">
        <v>21.5</v>
      </c>
      <c r="K262">
        <v>0.99</v>
      </c>
      <c r="L262">
        <v>1</v>
      </c>
      <c r="M262">
        <v>6</v>
      </c>
      <c r="N262" t="s">
        <v>445</v>
      </c>
      <c r="O262">
        <v>0</v>
      </c>
      <c r="P262" t="s">
        <v>32</v>
      </c>
      <c r="Q262" t="s">
        <v>33</v>
      </c>
      <c r="R262">
        <v>-10.7</v>
      </c>
      <c r="S262">
        <v>25</v>
      </c>
    </row>
    <row r="263" spans="1:20" x14ac:dyDescent="0.3">
      <c r="A263" t="s">
        <v>462</v>
      </c>
      <c r="B263">
        <v>1000</v>
      </c>
      <c r="C263">
        <v>5000</v>
      </c>
      <c r="D263">
        <v>0.36</v>
      </c>
      <c r="E263">
        <v>6952</v>
      </c>
      <c r="F263">
        <v>8</v>
      </c>
      <c r="G263" t="s">
        <v>455</v>
      </c>
      <c r="H263">
        <v>3.27</v>
      </c>
      <c r="I263">
        <v>1.95</v>
      </c>
      <c r="J263">
        <v>12.26</v>
      </c>
      <c r="K263">
        <v>0.84</v>
      </c>
      <c r="L263">
        <v>1.42</v>
      </c>
      <c r="M263">
        <v>6</v>
      </c>
      <c r="N263" t="s">
        <v>445</v>
      </c>
      <c r="O263">
        <v>4</v>
      </c>
      <c r="P263" t="s">
        <v>27</v>
      </c>
      <c r="Q263" t="s">
        <v>42</v>
      </c>
      <c r="R263">
        <v>1.7</v>
      </c>
      <c r="S263">
        <v>21.9</v>
      </c>
      <c r="T263">
        <v>12.2</v>
      </c>
    </row>
    <row r="264" spans="1:20" x14ac:dyDescent="0.3">
      <c r="A264" t="s">
        <v>463</v>
      </c>
      <c r="B264">
        <v>500</v>
      </c>
      <c r="C264">
        <v>500</v>
      </c>
      <c r="D264">
        <v>1.19</v>
      </c>
      <c r="E264">
        <v>667</v>
      </c>
      <c r="F264">
        <v>6</v>
      </c>
      <c r="G264" t="s">
        <v>464</v>
      </c>
      <c r="H264">
        <v>1.1299999999999999</v>
      </c>
      <c r="I264">
        <v>-4.9400000000000004</v>
      </c>
      <c r="J264">
        <v>10.32</v>
      </c>
      <c r="K264">
        <v>0.62</v>
      </c>
      <c r="L264">
        <v>0.62</v>
      </c>
      <c r="M264">
        <v>6</v>
      </c>
      <c r="N264" t="s">
        <v>465</v>
      </c>
      <c r="O264">
        <v>1</v>
      </c>
      <c r="P264" t="s">
        <v>27</v>
      </c>
      <c r="Q264" t="s">
        <v>31</v>
      </c>
      <c r="R264">
        <v>0.3</v>
      </c>
      <c r="S264">
        <v>9.9</v>
      </c>
      <c r="T264">
        <v>5.6</v>
      </c>
    </row>
    <row r="265" spans="1:20" x14ac:dyDescent="0.3">
      <c r="A265" t="s">
        <v>466</v>
      </c>
      <c r="B265">
        <v>500</v>
      </c>
      <c r="C265">
        <v>500</v>
      </c>
      <c r="D265">
        <v>0.94</v>
      </c>
      <c r="E265">
        <v>385</v>
      </c>
      <c r="F265">
        <v>5</v>
      </c>
      <c r="G265" t="s">
        <v>467</v>
      </c>
      <c r="H265">
        <v>2.63</v>
      </c>
      <c r="I265">
        <v>-1.1299999999999999</v>
      </c>
      <c r="J265">
        <v>11.94</v>
      </c>
      <c r="K265">
        <v>0.82</v>
      </c>
      <c r="L265">
        <v>1.1599999999999999</v>
      </c>
      <c r="M265">
        <v>6</v>
      </c>
      <c r="N265" t="s">
        <v>465</v>
      </c>
      <c r="O265">
        <v>3</v>
      </c>
      <c r="P265" t="s">
        <v>27</v>
      </c>
      <c r="Q265" t="s">
        <v>42</v>
      </c>
      <c r="R265">
        <v>1.7</v>
      </c>
      <c r="S265">
        <v>32.4</v>
      </c>
      <c r="T265">
        <v>13.3</v>
      </c>
    </row>
    <row r="266" spans="1:20" x14ac:dyDescent="0.3">
      <c r="A266" t="s">
        <v>468</v>
      </c>
      <c r="B266">
        <v>500</v>
      </c>
      <c r="C266">
        <v>500</v>
      </c>
      <c r="D266">
        <v>0.97</v>
      </c>
      <c r="E266">
        <v>8332</v>
      </c>
      <c r="F266">
        <v>9</v>
      </c>
      <c r="G266" t="s">
        <v>467</v>
      </c>
      <c r="H266">
        <v>1.98</v>
      </c>
      <c r="I266">
        <v>-6.29</v>
      </c>
      <c r="J266">
        <v>15.5</v>
      </c>
      <c r="K266">
        <v>0.86</v>
      </c>
      <c r="L266">
        <v>0.9</v>
      </c>
      <c r="M266">
        <v>6</v>
      </c>
      <c r="N266" t="s">
        <v>465</v>
      </c>
      <c r="O266">
        <v>1</v>
      </c>
      <c r="P266" t="s">
        <v>32</v>
      </c>
      <c r="Q266" t="s">
        <v>44</v>
      </c>
      <c r="R266">
        <v>-1.6</v>
      </c>
      <c r="S266">
        <v>16.399999999999999</v>
      </c>
      <c r="T266">
        <v>4.9000000000000004</v>
      </c>
    </row>
    <row r="267" spans="1:20" x14ac:dyDescent="0.3">
      <c r="A267" t="s">
        <v>469</v>
      </c>
      <c r="B267">
        <v>500</v>
      </c>
      <c r="C267">
        <v>500</v>
      </c>
      <c r="D267">
        <v>1</v>
      </c>
      <c r="E267">
        <v>1643</v>
      </c>
      <c r="F267">
        <v>10</v>
      </c>
      <c r="G267" t="s">
        <v>467</v>
      </c>
      <c r="H267">
        <v>2.1</v>
      </c>
      <c r="I267">
        <v>-4.8099999999999996</v>
      </c>
      <c r="J267">
        <v>16.36</v>
      </c>
      <c r="K267">
        <v>0.94</v>
      </c>
      <c r="L267">
        <v>1.01</v>
      </c>
      <c r="M267">
        <v>6</v>
      </c>
      <c r="N267" t="s">
        <v>465</v>
      </c>
      <c r="O267">
        <v>2</v>
      </c>
      <c r="P267" t="s">
        <v>32</v>
      </c>
      <c r="Q267" t="s">
        <v>46</v>
      </c>
      <c r="R267">
        <v>2.6</v>
      </c>
      <c r="S267">
        <v>20.399999999999999</v>
      </c>
      <c r="T267">
        <v>10.6</v>
      </c>
    </row>
    <row r="268" spans="1:20" x14ac:dyDescent="0.3">
      <c r="A268" t="s">
        <v>470</v>
      </c>
      <c r="B268">
        <v>500</v>
      </c>
      <c r="C268">
        <v>500</v>
      </c>
      <c r="D268">
        <v>0.73</v>
      </c>
      <c r="E268">
        <v>1415</v>
      </c>
      <c r="F268">
        <v>3</v>
      </c>
      <c r="G268" t="s">
        <v>471</v>
      </c>
      <c r="H268">
        <v>3.17</v>
      </c>
      <c r="I268">
        <v>5.27</v>
      </c>
      <c r="J268">
        <v>15.94</v>
      </c>
      <c r="K268">
        <v>0.85</v>
      </c>
      <c r="L268">
        <v>1.55</v>
      </c>
      <c r="M268">
        <v>6</v>
      </c>
      <c r="N268" t="s">
        <v>465</v>
      </c>
      <c r="O268">
        <v>3</v>
      </c>
      <c r="P268" t="s">
        <v>32</v>
      </c>
      <c r="Q268" t="s">
        <v>41</v>
      </c>
      <c r="R268">
        <v>10.7</v>
      </c>
      <c r="S268">
        <v>28.9</v>
      </c>
    </row>
    <row r="269" spans="1:20" x14ac:dyDescent="0.3">
      <c r="A269" t="s">
        <v>472</v>
      </c>
      <c r="B269">
        <v>500</v>
      </c>
      <c r="C269">
        <v>500</v>
      </c>
      <c r="D269">
        <v>0.21</v>
      </c>
      <c r="E269">
        <v>484</v>
      </c>
      <c r="F269">
        <v>4</v>
      </c>
      <c r="G269" t="s">
        <v>473</v>
      </c>
      <c r="H269">
        <v>-0.39</v>
      </c>
      <c r="I269">
        <v>0.88</v>
      </c>
      <c r="J269">
        <v>0.35</v>
      </c>
      <c r="K269">
        <v>0.68</v>
      </c>
      <c r="L269">
        <v>-0.08</v>
      </c>
      <c r="M269">
        <v>2</v>
      </c>
      <c r="N269" t="s">
        <v>465</v>
      </c>
      <c r="O269">
        <v>1</v>
      </c>
      <c r="P269" t="s">
        <v>34</v>
      </c>
      <c r="Q269" t="s">
        <v>51</v>
      </c>
      <c r="R269">
        <v>5.2</v>
      </c>
      <c r="S269">
        <v>3.8</v>
      </c>
    </row>
    <row r="270" spans="1:20" x14ac:dyDescent="0.3">
      <c r="A270" t="s">
        <v>474</v>
      </c>
      <c r="B270">
        <v>500</v>
      </c>
      <c r="C270">
        <v>500</v>
      </c>
      <c r="D270">
        <v>0.8</v>
      </c>
      <c r="E270">
        <v>2187</v>
      </c>
      <c r="F270">
        <v>8</v>
      </c>
      <c r="G270" t="s">
        <v>471</v>
      </c>
      <c r="H270">
        <v>3.01</v>
      </c>
      <c r="I270">
        <v>1.02</v>
      </c>
      <c r="J270">
        <v>15.9</v>
      </c>
      <c r="K270">
        <v>0.88</v>
      </c>
      <c r="L270">
        <v>1.36</v>
      </c>
      <c r="M270">
        <v>6</v>
      </c>
      <c r="N270" t="s">
        <v>465</v>
      </c>
      <c r="O270">
        <v>3</v>
      </c>
      <c r="P270" t="s">
        <v>32</v>
      </c>
      <c r="Q270" t="s">
        <v>64</v>
      </c>
      <c r="R270">
        <v>8.5</v>
      </c>
      <c r="S270">
        <v>25</v>
      </c>
      <c r="T270">
        <v>10</v>
      </c>
    </row>
    <row r="271" spans="1:20" x14ac:dyDescent="0.3">
      <c r="A271" t="s">
        <v>475</v>
      </c>
      <c r="B271">
        <v>500</v>
      </c>
      <c r="C271">
        <v>500</v>
      </c>
      <c r="D271">
        <v>0.87</v>
      </c>
      <c r="E271">
        <v>3769</v>
      </c>
      <c r="F271">
        <v>9</v>
      </c>
      <c r="G271" t="s">
        <v>476</v>
      </c>
      <c r="H271">
        <v>3.72</v>
      </c>
      <c r="I271">
        <v>7.69</v>
      </c>
      <c r="J271">
        <v>15.34</v>
      </c>
      <c r="K271">
        <v>0.77</v>
      </c>
      <c r="L271">
        <v>1.98</v>
      </c>
      <c r="M271">
        <v>6</v>
      </c>
      <c r="N271" t="s">
        <v>465</v>
      </c>
      <c r="O271">
        <v>5</v>
      </c>
      <c r="P271" t="s">
        <v>32</v>
      </c>
      <c r="Q271" t="s">
        <v>54</v>
      </c>
      <c r="R271">
        <v>14.6</v>
      </c>
      <c r="S271">
        <v>34</v>
      </c>
      <c r="T271">
        <v>16.399999999999999</v>
      </c>
    </row>
    <row r="272" spans="1:20" x14ac:dyDescent="0.3">
      <c r="A272" t="s">
        <v>477</v>
      </c>
      <c r="B272">
        <v>500</v>
      </c>
      <c r="C272">
        <v>500</v>
      </c>
      <c r="D272">
        <v>0.1</v>
      </c>
      <c r="E272">
        <v>3378</v>
      </c>
      <c r="F272">
        <v>4</v>
      </c>
      <c r="G272" t="s">
        <v>478</v>
      </c>
      <c r="H272">
        <v>1.18</v>
      </c>
      <c r="I272" t="s">
        <v>36</v>
      </c>
      <c r="J272">
        <v>22.3</v>
      </c>
      <c r="K272" t="s">
        <v>36</v>
      </c>
      <c r="L272">
        <v>0.77</v>
      </c>
      <c r="M272">
        <v>6</v>
      </c>
      <c r="N272" t="s">
        <v>465</v>
      </c>
      <c r="O272">
        <v>0</v>
      </c>
      <c r="P272" t="s">
        <v>23</v>
      </c>
      <c r="Q272" t="s">
        <v>48</v>
      </c>
      <c r="R272">
        <v>-6.2</v>
      </c>
      <c r="S272">
        <v>21.4</v>
      </c>
    </row>
    <row r="273" spans="1:20" x14ac:dyDescent="0.3">
      <c r="A273" t="s">
        <v>479</v>
      </c>
      <c r="B273">
        <v>500</v>
      </c>
      <c r="C273">
        <v>500</v>
      </c>
      <c r="D273">
        <v>0.14000000000000001</v>
      </c>
      <c r="E273">
        <v>234</v>
      </c>
      <c r="F273">
        <v>3</v>
      </c>
      <c r="G273" t="s">
        <v>478</v>
      </c>
      <c r="H273">
        <v>3.48</v>
      </c>
      <c r="I273">
        <v>-0.6</v>
      </c>
      <c r="J273">
        <v>16.66</v>
      </c>
      <c r="K273">
        <v>0.99</v>
      </c>
      <c r="L273">
        <v>1.31</v>
      </c>
      <c r="M273">
        <v>6</v>
      </c>
      <c r="N273" t="s">
        <v>465</v>
      </c>
      <c r="O273">
        <v>4</v>
      </c>
      <c r="P273" t="s">
        <v>23</v>
      </c>
      <c r="Q273" t="s">
        <v>56</v>
      </c>
      <c r="R273">
        <v>0.1</v>
      </c>
      <c r="S273">
        <v>26</v>
      </c>
    </row>
    <row r="274" spans="1:20" x14ac:dyDescent="0.3">
      <c r="A274" t="s">
        <v>480</v>
      </c>
      <c r="B274">
        <v>500</v>
      </c>
      <c r="C274">
        <v>500</v>
      </c>
      <c r="D274">
        <v>0.4</v>
      </c>
      <c r="E274">
        <v>372</v>
      </c>
      <c r="F274">
        <v>4</v>
      </c>
      <c r="G274" t="s">
        <v>478</v>
      </c>
      <c r="H274">
        <v>3.05</v>
      </c>
      <c r="I274">
        <v>-0.81</v>
      </c>
      <c r="J274">
        <v>16.62</v>
      </c>
      <c r="K274">
        <v>0.99</v>
      </c>
      <c r="L274">
        <v>1.34</v>
      </c>
      <c r="M274">
        <v>6</v>
      </c>
      <c r="N274" t="s">
        <v>465</v>
      </c>
      <c r="O274">
        <v>3</v>
      </c>
      <c r="P274" t="s">
        <v>23</v>
      </c>
      <c r="Q274" t="s">
        <v>56</v>
      </c>
      <c r="R274">
        <v>-1.2</v>
      </c>
      <c r="S274">
        <v>26.7</v>
      </c>
    </row>
    <row r="275" spans="1:20" x14ac:dyDescent="0.3">
      <c r="A275" t="s">
        <v>481</v>
      </c>
      <c r="B275">
        <v>500</v>
      </c>
      <c r="C275">
        <v>500</v>
      </c>
      <c r="D275">
        <v>0.21</v>
      </c>
      <c r="E275">
        <v>332</v>
      </c>
      <c r="F275">
        <v>4</v>
      </c>
      <c r="G275" t="s">
        <v>478</v>
      </c>
      <c r="H275">
        <v>2.02</v>
      </c>
      <c r="I275">
        <v>0</v>
      </c>
      <c r="J275">
        <v>25.4</v>
      </c>
      <c r="K275">
        <v>1</v>
      </c>
      <c r="L275">
        <v>0.95</v>
      </c>
      <c r="M275">
        <v>6</v>
      </c>
      <c r="N275" t="s">
        <v>465</v>
      </c>
      <c r="O275">
        <v>2</v>
      </c>
      <c r="P275" t="s">
        <v>23</v>
      </c>
      <c r="Q275" t="s">
        <v>56</v>
      </c>
      <c r="R275">
        <v>10.8</v>
      </c>
      <c r="S275">
        <v>25</v>
      </c>
    </row>
    <row r="276" spans="1:20" x14ac:dyDescent="0.3">
      <c r="A276" t="s">
        <v>482</v>
      </c>
      <c r="B276">
        <v>500</v>
      </c>
      <c r="C276">
        <v>500</v>
      </c>
      <c r="D276">
        <v>0.57999999999999996</v>
      </c>
      <c r="E276">
        <v>101</v>
      </c>
      <c r="F276">
        <v>10</v>
      </c>
      <c r="G276" t="s">
        <v>473</v>
      </c>
      <c r="H276">
        <v>-0.2</v>
      </c>
      <c r="I276">
        <v>1.32</v>
      </c>
      <c r="J276">
        <v>0.39</v>
      </c>
      <c r="K276">
        <v>1.01</v>
      </c>
      <c r="L276">
        <v>-0.09</v>
      </c>
      <c r="M276">
        <v>1</v>
      </c>
      <c r="N276" t="s">
        <v>465</v>
      </c>
      <c r="O276">
        <v>1</v>
      </c>
      <c r="P276" t="s">
        <v>34</v>
      </c>
      <c r="Q276" t="s">
        <v>61</v>
      </c>
      <c r="R276">
        <v>4.7</v>
      </c>
      <c r="S276">
        <v>3.9</v>
      </c>
      <c r="T276">
        <v>1.8</v>
      </c>
    </row>
    <row r="277" spans="1:20" x14ac:dyDescent="0.3">
      <c r="A277" t="s">
        <v>483</v>
      </c>
      <c r="B277">
        <v>500</v>
      </c>
      <c r="C277">
        <v>1000</v>
      </c>
      <c r="D277">
        <v>0.34</v>
      </c>
      <c r="E277">
        <v>15</v>
      </c>
      <c r="F277">
        <v>10</v>
      </c>
      <c r="G277" t="s">
        <v>484</v>
      </c>
      <c r="H277">
        <v>3.29</v>
      </c>
      <c r="I277">
        <v>0.91</v>
      </c>
      <c r="J277">
        <v>15.51</v>
      </c>
      <c r="K277">
        <v>0.89</v>
      </c>
      <c r="L277">
        <v>1.41</v>
      </c>
      <c r="M277">
        <v>6</v>
      </c>
      <c r="N277" t="s">
        <v>485</v>
      </c>
      <c r="O277">
        <v>2</v>
      </c>
      <c r="P277" t="s">
        <v>27</v>
      </c>
      <c r="Q277" t="s">
        <v>81</v>
      </c>
      <c r="R277">
        <v>0.2</v>
      </c>
      <c r="S277">
        <v>32.6</v>
      </c>
      <c r="T277">
        <v>12.4</v>
      </c>
    </row>
    <row r="278" spans="1:20" x14ac:dyDescent="0.3">
      <c r="A278" t="s">
        <v>486</v>
      </c>
      <c r="B278">
        <v>500</v>
      </c>
      <c r="C278">
        <v>500</v>
      </c>
      <c r="D278">
        <v>0.4</v>
      </c>
      <c r="E278">
        <v>56</v>
      </c>
      <c r="F278">
        <v>7</v>
      </c>
      <c r="G278" t="s">
        <v>484</v>
      </c>
      <c r="H278" t="s">
        <v>36</v>
      </c>
      <c r="I278" t="s">
        <v>36</v>
      </c>
      <c r="J278" t="s">
        <v>36</v>
      </c>
      <c r="K278" t="s">
        <v>36</v>
      </c>
      <c r="L278" t="s">
        <v>36</v>
      </c>
      <c r="M278">
        <v>6</v>
      </c>
      <c r="N278" t="s">
        <v>485</v>
      </c>
      <c r="O278">
        <v>2</v>
      </c>
      <c r="P278" t="s">
        <v>32</v>
      </c>
      <c r="Q278" t="s">
        <v>64</v>
      </c>
      <c r="R278">
        <v>1.3</v>
      </c>
      <c r="S278">
        <v>23.4</v>
      </c>
      <c r="T278">
        <v>10.5</v>
      </c>
    </row>
    <row r="279" spans="1:20" x14ac:dyDescent="0.3">
      <c r="A279" t="s">
        <v>487</v>
      </c>
      <c r="B279">
        <v>500</v>
      </c>
      <c r="C279">
        <v>10</v>
      </c>
      <c r="D279">
        <v>0.42</v>
      </c>
      <c r="E279">
        <v>82</v>
      </c>
      <c r="F279">
        <v>5</v>
      </c>
      <c r="G279" t="s">
        <v>484</v>
      </c>
      <c r="H279">
        <v>2.72</v>
      </c>
      <c r="I279">
        <v>1.73</v>
      </c>
      <c r="J279">
        <v>11.25</v>
      </c>
      <c r="K279">
        <v>0.77</v>
      </c>
      <c r="L279">
        <v>1.41</v>
      </c>
      <c r="M279">
        <v>6</v>
      </c>
      <c r="N279" t="s">
        <v>485</v>
      </c>
      <c r="O279">
        <v>3</v>
      </c>
      <c r="P279" t="s">
        <v>27</v>
      </c>
      <c r="Q279" t="s">
        <v>42</v>
      </c>
      <c r="R279">
        <v>3.2</v>
      </c>
      <c r="S279">
        <v>19.7</v>
      </c>
    </row>
    <row r="280" spans="1:20" x14ac:dyDescent="0.3">
      <c r="A280" t="s">
        <v>488</v>
      </c>
      <c r="B280">
        <v>500</v>
      </c>
      <c r="C280">
        <v>10</v>
      </c>
      <c r="D280">
        <v>0.43</v>
      </c>
      <c r="E280">
        <v>202</v>
      </c>
      <c r="F280">
        <v>5</v>
      </c>
      <c r="G280" t="s">
        <v>484</v>
      </c>
      <c r="H280">
        <v>3.29</v>
      </c>
      <c r="I280">
        <v>0.91</v>
      </c>
      <c r="J280">
        <v>15.51</v>
      </c>
      <c r="K280">
        <v>0.89</v>
      </c>
      <c r="L280">
        <v>1.41</v>
      </c>
      <c r="M280">
        <v>6</v>
      </c>
      <c r="N280" t="s">
        <v>485</v>
      </c>
      <c r="O280">
        <v>3</v>
      </c>
      <c r="P280" t="s">
        <v>32</v>
      </c>
      <c r="Q280" t="s">
        <v>44</v>
      </c>
      <c r="R280">
        <v>2.1</v>
      </c>
      <c r="S280">
        <v>25.9</v>
      </c>
    </row>
    <row r="281" spans="1:20" x14ac:dyDescent="0.3">
      <c r="A281" t="s">
        <v>489</v>
      </c>
      <c r="B281">
        <v>500</v>
      </c>
      <c r="C281">
        <v>10</v>
      </c>
      <c r="D281">
        <v>0.35</v>
      </c>
      <c r="E281">
        <v>234</v>
      </c>
      <c r="F281">
        <v>7</v>
      </c>
      <c r="G281" t="s">
        <v>484</v>
      </c>
      <c r="H281">
        <v>3.12</v>
      </c>
      <c r="I281">
        <v>5.26</v>
      </c>
      <c r="J281">
        <v>15.37</v>
      </c>
      <c r="K281">
        <v>0.85</v>
      </c>
      <c r="L281">
        <v>1.61</v>
      </c>
      <c r="M281">
        <v>6</v>
      </c>
      <c r="N281" t="s">
        <v>485</v>
      </c>
      <c r="O281">
        <v>3</v>
      </c>
      <c r="P281" t="s">
        <v>32</v>
      </c>
      <c r="Q281" t="s">
        <v>41</v>
      </c>
      <c r="R281">
        <v>1.6</v>
      </c>
      <c r="S281">
        <v>28.7</v>
      </c>
      <c r="T281">
        <v>12.7</v>
      </c>
    </row>
    <row r="282" spans="1:20" x14ac:dyDescent="0.3">
      <c r="A282" t="s">
        <v>490</v>
      </c>
      <c r="B282">
        <v>500</v>
      </c>
      <c r="C282">
        <v>1000</v>
      </c>
      <c r="D282">
        <v>0.31</v>
      </c>
      <c r="E282">
        <v>91</v>
      </c>
      <c r="F282">
        <v>10</v>
      </c>
      <c r="G282" t="s">
        <v>484</v>
      </c>
      <c r="H282">
        <v>3.12</v>
      </c>
      <c r="I282">
        <v>5.26</v>
      </c>
      <c r="J282">
        <v>15.37</v>
      </c>
      <c r="K282">
        <v>0.85</v>
      </c>
      <c r="L282">
        <v>1.61</v>
      </c>
      <c r="M282">
        <v>6</v>
      </c>
      <c r="N282" t="s">
        <v>485</v>
      </c>
      <c r="O282">
        <v>2</v>
      </c>
      <c r="P282" t="s">
        <v>32</v>
      </c>
      <c r="Q282" t="s">
        <v>47</v>
      </c>
      <c r="R282">
        <v>0.2</v>
      </c>
      <c r="S282">
        <v>32.6</v>
      </c>
      <c r="T282">
        <v>12.4</v>
      </c>
    </row>
    <row r="283" spans="1:20" x14ac:dyDescent="0.3">
      <c r="A283" t="s">
        <v>491</v>
      </c>
      <c r="B283">
        <v>500</v>
      </c>
      <c r="C283">
        <v>10</v>
      </c>
      <c r="D283">
        <v>0.39</v>
      </c>
      <c r="E283">
        <v>26</v>
      </c>
      <c r="F283">
        <v>10</v>
      </c>
      <c r="G283" t="s">
        <v>492</v>
      </c>
      <c r="H283">
        <v>2.69</v>
      </c>
      <c r="I283">
        <v>1.01</v>
      </c>
      <c r="J283">
        <v>3.3</v>
      </c>
      <c r="K283">
        <v>0.5</v>
      </c>
      <c r="L283">
        <v>1.38</v>
      </c>
      <c r="M283">
        <v>4</v>
      </c>
      <c r="N283" t="s">
        <v>485</v>
      </c>
      <c r="O283">
        <v>3</v>
      </c>
      <c r="P283" t="s">
        <v>27</v>
      </c>
      <c r="Q283" t="s">
        <v>59</v>
      </c>
      <c r="R283">
        <v>4.4000000000000004</v>
      </c>
      <c r="S283">
        <v>8.4</v>
      </c>
      <c r="T283">
        <v>6.5</v>
      </c>
    </row>
    <row r="284" spans="1:20" x14ac:dyDescent="0.3">
      <c r="A284" t="s">
        <v>493</v>
      </c>
      <c r="B284">
        <v>500</v>
      </c>
      <c r="C284">
        <v>1000</v>
      </c>
      <c r="D284">
        <v>0.73</v>
      </c>
      <c r="E284">
        <v>11</v>
      </c>
      <c r="F284">
        <v>10</v>
      </c>
      <c r="G284" t="s">
        <v>492</v>
      </c>
      <c r="H284">
        <v>2.4500000000000002</v>
      </c>
      <c r="I284">
        <v>1.07</v>
      </c>
      <c r="J284">
        <v>0.36</v>
      </c>
      <c r="K284">
        <v>0.59</v>
      </c>
      <c r="L284">
        <v>0.79</v>
      </c>
      <c r="M284">
        <v>2</v>
      </c>
      <c r="N284" t="s">
        <v>485</v>
      </c>
      <c r="O284">
        <v>1</v>
      </c>
      <c r="P284" t="s">
        <v>34</v>
      </c>
      <c r="Q284" t="s">
        <v>61</v>
      </c>
      <c r="R284">
        <v>1.7</v>
      </c>
      <c r="S284">
        <v>32.4</v>
      </c>
      <c r="T284">
        <v>13.3</v>
      </c>
    </row>
    <row r="285" spans="1:20" x14ac:dyDescent="0.3">
      <c r="A285" t="s">
        <v>494</v>
      </c>
      <c r="B285">
        <v>100</v>
      </c>
      <c r="C285">
        <v>5000</v>
      </c>
      <c r="D285">
        <v>0.21</v>
      </c>
      <c r="E285">
        <v>9234</v>
      </c>
      <c r="F285">
        <v>10</v>
      </c>
      <c r="G285" t="s">
        <v>495</v>
      </c>
      <c r="H285">
        <v>1.67</v>
      </c>
      <c r="I285">
        <v>1.74</v>
      </c>
      <c r="J285">
        <v>0.7</v>
      </c>
      <c r="K285">
        <v>0.61</v>
      </c>
      <c r="L285">
        <v>1.31</v>
      </c>
      <c r="M285">
        <v>1</v>
      </c>
      <c r="N285" t="s">
        <v>496</v>
      </c>
      <c r="O285">
        <v>4</v>
      </c>
      <c r="P285" t="s">
        <v>27</v>
      </c>
      <c r="Q285" t="s">
        <v>28</v>
      </c>
      <c r="R285">
        <v>5.6</v>
      </c>
      <c r="S285">
        <v>4.9000000000000004</v>
      </c>
      <c r="T285">
        <v>5.7</v>
      </c>
    </row>
    <row r="286" spans="1:20" x14ac:dyDescent="0.3">
      <c r="A286" t="s">
        <v>497</v>
      </c>
      <c r="B286">
        <v>100</v>
      </c>
      <c r="C286">
        <v>100</v>
      </c>
      <c r="D286">
        <v>0.65</v>
      </c>
      <c r="E286">
        <v>6593</v>
      </c>
      <c r="F286">
        <v>10</v>
      </c>
      <c r="G286" t="s">
        <v>498</v>
      </c>
      <c r="H286">
        <v>3.76</v>
      </c>
      <c r="I286">
        <v>3.1</v>
      </c>
      <c r="J286">
        <v>8.5299999999999994</v>
      </c>
      <c r="K286">
        <v>0.56000000000000005</v>
      </c>
      <c r="L286">
        <v>1.58</v>
      </c>
      <c r="M286">
        <v>5</v>
      </c>
      <c r="N286" t="s">
        <v>496</v>
      </c>
      <c r="O286">
        <v>3</v>
      </c>
      <c r="P286" t="s">
        <v>27</v>
      </c>
      <c r="Q286" t="s">
        <v>31</v>
      </c>
      <c r="R286">
        <v>5.3</v>
      </c>
      <c r="S286">
        <v>17.100000000000001</v>
      </c>
      <c r="T286">
        <v>10.1</v>
      </c>
    </row>
    <row r="287" spans="1:20" x14ac:dyDescent="0.3">
      <c r="A287" t="s">
        <v>499</v>
      </c>
      <c r="B287">
        <v>100</v>
      </c>
      <c r="C287">
        <v>5000</v>
      </c>
      <c r="D287">
        <v>0.33</v>
      </c>
      <c r="E287">
        <v>4008</v>
      </c>
      <c r="F287">
        <v>8</v>
      </c>
      <c r="G287" t="s">
        <v>500</v>
      </c>
      <c r="H287">
        <v>1.84</v>
      </c>
      <c r="I287">
        <v>5.0999999999999996</v>
      </c>
      <c r="J287">
        <v>1.92</v>
      </c>
      <c r="K287">
        <v>2.27</v>
      </c>
      <c r="L287">
        <v>1.08</v>
      </c>
      <c r="M287">
        <v>3</v>
      </c>
      <c r="N287" t="s">
        <v>496</v>
      </c>
      <c r="O287">
        <v>4</v>
      </c>
      <c r="P287" t="s">
        <v>34</v>
      </c>
      <c r="Q287" t="s">
        <v>35</v>
      </c>
      <c r="R287">
        <v>4.2</v>
      </c>
      <c r="S287">
        <v>6.9</v>
      </c>
      <c r="T287">
        <v>7.4</v>
      </c>
    </row>
    <row r="288" spans="1:20" x14ac:dyDescent="0.3">
      <c r="A288" t="s">
        <v>501</v>
      </c>
      <c r="B288">
        <v>100</v>
      </c>
      <c r="C288">
        <v>5000</v>
      </c>
      <c r="D288">
        <v>1.32</v>
      </c>
      <c r="E288">
        <v>3826</v>
      </c>
      <c r="F288">
        <v>10</v>
      </c>
      <c r="G288" t="s">
        <v>502</v>
      </c>
      <c r="H288">
        <v>2.2200000000000002</v>
      </c>
      <c r="I288">
        <v>6.01</v>
      </c>
      <c r="J288">
        <v>24.98</v>
      </c>
      <c r="K288">
        <v>0.93</v>
      </c>
      <c r="L288">
        <v>1.1499999999999999</v>
      </c>
      <c r="M288">
        <v>6</v>
      </c>
      <c r="N288" t="s">
        <v>496</v>
      </c>
      <c r="O288">
        <v>3</v>
      </c>
      <c r="P288" t="s">
        <v>32</v>
      </c>
      <c r="Q288" t="s">
        <v>33</v>
      </c>
      <c r="R288">
        <v>8.8000000000000007</v>
      </c>
      <c r="S288">
        <v>28.3</v>
      </c>
      <c r="T288">
        <v>9.5</v>
      </c>
    </row>
    <row r="289" spans="1:20" x14ac:dyDescent="0.3">
      <c r="A289" t="s">
        <v>503</v>
      </c>
      <c r="B289">
        <v>100</v>
      </c>
      <c r="C289">
        <v>5000</v>
      </c>
      <c r="D289">
        <v>1.76</v>
      </c>
      <c r="E289">
        <v>312</v>
      </c>
      <c r="F289">
        <v>10</v>
      </c>
      <c r="G289" t="s">
        <v>498</v>
      </c>
      <c r="H289">
        <v>4.22</v>
      </c>
      <c r="I289">
        <v>8.77</v>
      </c>
      <c r="J289">
        <v>14.85</v>
      </c>
      <c r="K289">
        <v>0.76</v>
      </c>
      <c r="L289">
        <v>1.76</v>
      </c>
      <c r="M289">
        <v>6</v>
      </c>
      <c r="N289" t="s">
        <v>496</v>
      </c>
      <c r="O289">
        <v>5</v>
      </c>
      <c r="P289" t="s">
        <v>32</v>
      </c>
      <c r="Q289" t="s">
        <v>33</v>
      </c>
      <c r="R289">
        <v>12.1</v>
      </c>
      <c r="S289">
        <v>30.6</v>
      </c>
      <c r="T289">
        <v>14.6</v>
      </c>
    </row>
    <row r="290" spans="1:20" x14ac:dyDescent="0.3">
      <c r="A290" t="s">
        <v>504</v>
      </c>
      <c r="B290">
        <v>100</v>
      </c>
      <c r="C290">
        <v>5000</v>
      </c>
      <c r="D290">
        <v>0.32</v>
      </c>
      <c r="E290">
        <v>1701</v>
      </c>
      <c r="F290">
        <v>10</v>
      </c>
      <c r="G290" t="s">
        <v>505</v>
      </c>
      <c r="H290">
        <v>2.64</v>
      </c>
      <c r="I290">
        <v>2.14</v>
      </c>
      <c r="J290">
        <v>1.41</v>
      </c>
      <c r="K290">
        <v>0.47</v>
      </c>
      <c r="L290">
        <v>1.61</v>
      </c>
      <c r="M290">
        <v>3</v>
      </c>
      <c r="N290" t="s">
        <v>496</v>
      </c>
      <c r="O290">
        <v>5</v>
      </c>
      <c r="P290" t="s">
        <v>34</v>
      </c>
      <c r="Q290" t="s">
        <v>37</v>
      </c>
      <c r="R290">
        <v>5.0999999999999996</v>
      </c>
      <c r="S290">
        <v>6.8</v>
      </c>
      <c r="T290">
        <v>7</v>
      </c>
    </row>
    <row r="291" spans="1:20" x14ac:dyDescent="0.3">
      <c r="A291" t="s">
        <v>506</v>
      </c>
      <c r="B291">
        <v>100</v>
      </c>
      <c r="C291">
        <v>500</v>
      </c>
      <c r="D291">
        <v>1</v>
      </c>
      <c r="E291">
        <v>927</v>
      </c>
      <c r="F291">
        <v>10</v>
      </c>
      <c r="G291" t="s">
        <v>507</v>
      </c>
      <c r="H291">
        <v>3.84</v>
      </c>
      <c r="I291">
        <v>6.08</v>
      </c>
      <c r="J291">
        <v>3.87</v>
      </c>
      <c r="K291">
        <v>0.9</v>
      </c>
      <c r="L291">
        <v>1.26</v>
      </c>
      <c r="M291">
        <v>5</v>
      </c>
      <c r="N291" t="s">
        <v>496</v>
      </c>
      <c r="O291">
        <v>2</v>
      </c>
      <c r="P291" t="s">
        <v>34</v>
      </c>
      <c r="Q291" t="s">
        <v>38</v>
      </c>
      <c r="R291">
        <v>4.8</v>
      </c>
      <c r="S291">
        <v>9.5</v>
      </c>
      <c r="T291">
        <v>4.4000000000000004</v>
      </c>
    </row>
    <row r="292" spans="1:20" x14ac:dyDescent="0.3">
      <c r="A292" t="s">
        <v>510</v>
      </c>
      <c r="B292">
        <v>100</v>
      </c>
      <c r="C292">
        <v>5000</v>
      </c>
      <c r="D292">
        <v>0.86</v>
      </c>
      <c r="E292">
        <v>23910</v>
      </c>
      <c r="F292">
        <v>10</v>
      </c>
      <c r="G292" t="s">
        <v>511</v>
      </c>
      <c r="H292">
        <v>4.2</v>
      </c>
      <c r="I292">
        <v>10.01</v>
      </c>
      <c r="J292">
        <v>19.309999999999999</v>
      </c>
      <c r="K292">
        <v>0.89</v>
      </c>
      <c r="L292">
        <v>2.06</v>
      </c>
      <c r="M292">
        <v>6</v>
      </c>
      <c r="N292" t="s">
        <v>496</v>
      </c>
      <c r="O292">
        <v>4</v>
      </c>
      <c r="P292" t="s">
        <v>32</v>
      </c>
      <c r="Q292" t="s">
        <v>63</v>
      </c>
      <c r="R292">
        <v>8.6999999999999993</v>
      </c>
      <c r="S292">
        <v>47.6</v>
      </c>
      <c r="T292">
        <v>16.8</v>
      </c>
    </row>
    <row r="293" spans="1:20" x14ac:dyDescent="0.3">
      <c r="A293" t="s">
        <v>512</v>
      </c>
      <c r="B293">
        <v>100</v>
      </c>
      <c r="C293">
        <v>5000</v>
      </c>
      <c r="D293">
        <v>1.4</v>
      </c>
      <c r="E293">
        <v>151</v>
      </c>
      <c r="F293">
        <v>9</v>
      </c>
      <c r="G293" t="s">
        <v>507</v>
      </c>
      <c r="H293">
        <v>2.12</v>
      </c>
      <c r="I293">
        <v>4.1399999999999997</v>
      </c>
      <c r="J293">
        <v>8.43</v>
      </c>
      <c r="K293">
        <v>0.16</v>
      </c>
      <c r="L293">
        <v>0.5</v>
      </c>
      <c r="M293">
        <v>6</v>
      </c>
      <c r="N293" t="s">
        <v>496</v>
      </c>
      <c r="O293">
        <v>2</v>
      </c>
      <c r="P293" t="s">
        <v>34</v>
      </c>
      <c r="Q293" t="s">
        <v>53</v>
      </c>
      <c r="R293">
        <v>2.7</v>
      </c>
      <c r="S293">
        <v>8.3000000000000007</v>
      </c>
      <c r="T293">
        <v>-0.9</v>
      </c>
    </row>
    <row r="294" spans="1:20" x14ac:dyDescent="0.3">
      <c r="A294" t="s">
        <v>513</v>
      </c>
      <c r="B294">
        <v>500</v>
      </c>
      <c r="C294">
        <v>500</v>
      </c>
      <c r="D294">
        <v>1.18</v>
      </c>
      <c r="E294">
        <v>11210</v>
      </c>
      <c r="F294">
        <v>10</v>
      </c>
      <c r="G294" t="s">
        <v>509</v>
      </c>
      <c r="H294">
        <v>2.75</v>
      </c>
      <c r="I294">
        <v>0.53</v>
      </c>
      <c r="J294">
        <v>17.25</v>
      </c>
      <c r="K294">
        <v>0.98</v>
      </c>
      <c r="L294">
        <v>1.37</v>
      </c>
      <c r="M294">
        <v>6</v>
      </c>
      <c r="N294" t="s">
        <v>496</v>
      </c>
      <c r="O294">
        <v>1</v>
      </c>
      <c r="P294" t="s">
        <v>32</v>
      </c>
      <c r="Q294" t="s">
        <v>64</v>
      </c>
      <c r="R294">
        <v>1.8</v>
      </c>
      <c r="S294">
        <v>27.3</v>
      </c>
      <c r="T294">
        <v>6.5</v>
      </c>
    </row>
    <row r="295" spans="1:20" x14ac:dyDescent="0.3">
      <c r="A295" t="s">
        <v>514</v>
      </c>
      <c r="B295">
        <v>100</v>
      </c>
      <c r="C295">
        <v>100</v>
      </c>
      <c r="D295">
        <v>1.22</v>
      </c>
      <c r="E295">
        <v>534</v>
      </c>
      <c r="F295">
        <v>8</v>
      </c>
      <c r="G295" t="s">
        <v>515</v>
      </c>
      <c r="H295">
        <v>1.33</v>
      </c>
      <c r="I295" t="s">
        <v>36</v>
      </c>
      <c r="J295">
        <v>19.57</v>
      </c>
      <c r="K295" t="s">
        <v>36</v>
      </c>
      <c r="L295">
        <v>0.67</v>
      </c>
      <c r="M295">
        <v>6</v>
      </c>
      <c r="N295" t="s">
        <v>496</v>
      </c>
      <c r="O295">
        <v>0</v>
      </c>
      <c r="P295" t="s">
        <v>32</v>
      </c>
      <c r="Q295" t="s">
        <v>33</v>
      </c>
      <c r="R295">
        <v>1.7</v>
      </c>
      <c r="S295">
        <v>32.4</v>
      </c>
      <c r="T295">
        <v>13.3</v>
      </c>
    </row>
    <row r="296" spans="1:20" x14ac:dyDescent="0.3">
      <c r="A296" t="s">
        <v>516</v>
      </c>
      <c r="B296">
        <v>100</v>
      </c>
      <c r="C296">
        <v>100</v>
      </c>
      <c r="D296">
        <v>0.38</v>
      </c>
      <c r="E296">
        <v>5114</v>
      </c>
      <c r="F296">
        <v>10</v>
      </c>
      <c r="G296" t="s">
        <v>505</v>
      </c>
      <c r="H296">
        <v>3.13</v>
      </c>
      <c r="I296">
        <v>3.47</v>
      </c>
      <c r="J296">
        <v>1.79</v>
      </c>
      <c r="K296">
        <v>0.53</v>
      </c>
      <c r="L296">
        <v>1.54</v>
      </c>
      <c r="M296">
        <v>3</v>
      </c>
      <c r="N296" t="s">
        <v>496</v>
      </c>
      <c r="O296">
        <v>5</v>
      </c>
      <c r="P296" t="s">
        <v>34</v>
      </c>
      <c r="Q296" t="s">
        <v>61</v>
      </c>
      <c r="R296">
        <v>5.9</v>
      </c>
      <c r="S296">
        <v>7</v>
      </c>
      <c r="T296">
        <v>5.9</v>
      </c>
    </row>
    <row r="297" spans="1:20" x14ac:dyDescent="0.3">
      <c r="A297" t="s">
        <v>517</v>
      </c>
      <c r="B297">
        <v>100</v>
      </c>
      <c r="C297">
        <v>500</v>
      </c>
      <c r="D297">
        <v>1.21</v>
      </c>
      <c r="E297">
        <v>4641</v>
      </c>
      <c r="F297">
        <v>10</v>
      </c>
      <c r="G297" t="s">
        <v>508</v>
      </c>
      <c r="H297">
        <v>3.34</v>
      </c>
      <c r="I297">
        <v>4.25</v>
      </c>
      <c r="J297">
        <v>16.97</v>
      </c>
      <c r="K297">
        <v>0.97</v>
      </c>
      <c r="L297">
        <v>1.54</v>
      </c>
      <c r="M297">
        <v>6</v>
      </c>
      <c r="N297" t="s">
        <v>496</v>
      </c>
      <c r="O297">
        <v>3</v>
      </c>
      <c r="P297" t="s">
        <v>32</v>
      </c>
      <c r="Q297" t="s">
        <v>58</v>
      </c>
      <c r="R297">
        <v>0</v>
      </c>
      <c r="S297">
        <v>30.3</v>
      </c>
      <c r="T297">
        <v>12.2</v>
      </c>
    </row>
    <row r="298" spans="1:20" x14ac:dyDescent="0.3">
      <c r="A298" t="s">
        <v>518</v>
      </c>
      <c r="B298">
        <v>100</v>
      </c>
      <c r="C298">
        <v>5000</v>
      </c>
      <c r="D298">
        <v>1.55</v>
      </c>
      <c r="E298">
        <v>3024</v>
      </c>
      <c r="F298">
        <v>10</v>
      </c>
      <c r="G298" t="s">
        <v>498</v>
      </c>
      <c r="H298">
        <v>3.41</v>
      </c>
      <c r="I298">
        <v>2.62</v>
      </c>
      <c r="J298">
        <v>15.86</v>
      </c>
      <c r="K298">
        <v>0.91</v>
      </c>
      <c r="L298">
        <v>1.48</v>
      </c>
      <c r="M298">
        <v>6</v>
      </c>
      <c r="N298" t="s">
        <v>496</v>
      </c>
      <c r="O298">
        <v>1</v>
      </c>
      <c r="P298" t="s">
        <v>32</v>
      </c>
      <c r="Q298" t="s">
        <v>41</v>
      </c>
      <c r="R298">
        <v>2.1</v>
      </c>
      <c r="S298">
        <v>27.4</v>
      </c>
      <c r="T298">
        <v>9.3000000000000007</v>
      </c>
    </row>
    <row r="299" spans="1:20" x14ac:dyDescent="0.3">
      <c r="A299" t="s">
        <v>519</v>
      </c>
      <c r="B299">
        <v>1000</v>
      </c>
      <c r="C299">
        <v>1000</v>
      </c>
      <c r="D299">
        <v>0.75</v>
      </c>
      <c r="E299">
        <v>29953</v>
      </c>
      <c r="F299">
        <v>10</v>
      </c>
      <c r="G299" t="s">
        <v>520</v>
      </c>
      <c r="H299">
        <v>3.06</v>
      </c>
      <c r="I299">
        <v>10.65</v>
      </c>
      <c r="J299">
        <v>14.53</v>
      </c>
      <c r="K299">
        <v>0.7</v>
      </c>
      <c r="L299">
        <v>1.86</v>
      </c>
      <c r="M299">
        <v>6</v>
      </c>
      <c r="N299" t="s">
        <v>521</v>
      </c>
      <c r="O299">
        <v>5</v>
      </c>
      <c r="P299" t="s">
        <v>32</v>
      </c>
      <c r="Q299" t="s">
        <v>44</v>
      </c>
      <c r="R299">
        <v>2.2999999999999998</v>
      </c>
      <c r="S299">
        <v>33.6</v>
      </c>
      <c r="T299">
        <v>17.600000000000001</v>
      </c>
    </row>
    <row r="300" spans="1:20" x14ac:dyDescent="0.3">
      <c r="A300" t="s">
        <v>522</v>
      </c>
      <c r="B300">
        <v>1000</v>
      </c>
      <c r="C300">
        <v>5000</v>
      </c>
      <c r="D300">
        <v>0.17</v>
      </c>
      <c r="E300">
        <v>1456</v>
      </c>
      <c r="F300">
        <v>5</v>
      </c>
      <c r="G300" t="s">
        <v>523</v>
      </c>
      <c r="H300">
        <v>0.59</v>
      </c>
      <c r="I300">
        <v>0.87</v>
      </c>
      <c r="J300">
        <v>0.34</v>
      </c>
      <c r="K300">
        <v>0.62</v>
      </c>
      <c r="L300">
        <v>0.13</v>
      </c>
      <c r="M300">
        <v>2</v>
      </c>
      <c r="N300" t="s">
        <v>521</v>
      </c>
      <c r="O300">
        <v>1</v>
      </c>
      <c r="P300" t="s">
        <v>34</v>
      </c>
      <c r="Q300" t="s">
        <v>51</v>
      </c>
      <c r="R300">
        <v>5.3</v>
      </c>
      <c r="S300">
        <v>4</v>
      </c>
    </row>
    <row r="301" spans="1:20" x14ac:dyDescent="0.3">
      <c r="A301" t="s">
        <v>524</v>
      </c>
      <c r="B301">
        <v>1000</v>
      </c>
      <c r="C301">
        <v>500</v>
      </c>
      <c r="D301">
        <v>0.8</v>
      </c>
      <c r="E301">
        <v>1147</v>
      </c>
      <c r="F301">
        <v>4</v>
      </c>
      <c r="G301" t="s">
        <v>520</v>
      </c>
      <c r="H301">
        <v>4.17</v>
      </c>
      <c r="I301">
        <v>12.64</v>
      </c>
      <c r="J301">
        <v>12.88</v>
      </c>
      <c r="K301">
        <v>0.62</v>
      </c>
      <c r="L301">
        <v>2.11</v>
      </c>
      <c r="M301">
        <v>6</v>
      </c>
      <c r="N301" t="s">
        <v>521</v>
      </c>
      <c r="O301">
        <v>5</v>
      </c>
      <c r="P301" t="s">
        <v>32</v>
      </c>
      <c r="Q301" t="s">
        <v>64</v>
      </c>
      <c r="R301">
        <v>8</v>
      </c>
      <c r="S301">
        <v>33</v>
      </c>
    </row>
    <row r="302" spans="1:20" x14ac:dyDescent="0.3">
      <c r="A302" t="s">
        <v>525</v>
      </c>
      <c r="B302">
        <v>1000</v>
      </c>
      <c r="C302">
        <v>5000</v>
      </c>
      <c r="D302">
        <v>0.33</v>
      </c>
      <c r="E302">
        <v>168</v>
      </c>
      <c r="F302">
        <v>9</v>
      </c>
      <c r="G302" t="s">
        <v>526</v>
      </c>
      <c r="H302">
        <v>0.85</v>
      </c>
      <c r="I302">
        <v>1.06</v>
      </c>
      <c r="J302">
        <v>0.7</v>
      </c>
      <c r="K302">
        <v>0.41</v>
      </c>
      <c r="L302">
        <v>0.73</v>
      </c>
      <c r="M302">
        <v>1</v>
      </c>
      <c r="N302" t="s">
        <v>527</v>
      </c>
      <c r="O302">
        <v>2</v>
      </c>
      <c r="P302" t="s">
        <v>27</v>
      </c>
      <c r="Q302" t="s">
        <v>28</v>
      </c>
      <c r="R302">
        <v>5.3</v>
      </c>
      <c r="S302">
        <v>4.5</v>
      </c>
      <c r="T302">
        <v>5.2</v>
      </c>
    </row>
    <row r="303" spans="1:20" x14ac:dyDescent="0.3">
      <c r="A303" t="s">
        <v>528</v>
      </c>
      <c r="B303">
        <v>1000</v>
      </c>
      <c r="C303">
        <v>5000</v>
      </c>
      <c r="D303">
        <v>0.25</v>
      </c>
      <c r="E303">
        <v>53</v>
      </c>
      <c r="F303">
        <v>10</v>
      </c>
      <c r="G303" t="s">
        <v>529</v>
      </c>
      <c r="H303">
        <v>2.06</v>
      </c>
      <c r="I303">
        <v>3.87</v>
      </c>
      <c r="J303">
        <v>1.73</v>
      </c>
      <c r="K303">
        <v>1.62</v>
      </c>
      <c r="L303">
        <v>0.99</v>
      </c>
      <c r="M303">
        <v>2</v>
      </c>
      <c r="N303" t="s">
        <v>527</v>
      </c>
      <c r="O303">
        <v>3</v>
      </c>
      <c r="P303" t="s">
        <v>34</v>
      </c>
      <c r="Q303" t="s">
        <v>35</v>
      </c>
      <c r="R303">
        <v>4.0999999999999996</v>
      </c>
      <c r="S303">
        <v>6.4</v>
      </c>
      <c r="T303">
        <v>7.1</v>
      </c>
    </row>
    <row r="304" spans="1:20" x14ac:dyDescent="0.3">
      <c r="A304" t="s">
        <v>530</v>
      </c>
      <c r="B304">
        <v>1000</v>
      </c>
      <c r="C304">
        <v>5000</v>
      </c>
      <c r="D304">
        <v>0.28999999999999998</v>
      </c>
      <c r="E304">
        <v>49</v>
      </c>
      <c r="F304">
        <v>10</v>
      </c>
      <c r="G304" t="s">
        <v>529</v>
      </c>
      <c r="H304">
        <v>2.99</v>
      </c>
      <c r="I304">
        <v>1.95</v>
      </c>
      <c r="J304">
        <v>1.74</v>
      </c>
      <c r="K304">
        <v>0.57999999999999996</v>
      </c>
      <c r="L304">
        <v>1.21</v>
      </c>
      <c r="M304">
        <v>2</v>
      </c>
      <c r="N304" t="s">
        <v>527</v>
      </c>
      <c r="O304">
        <v>4</v>
      </c>
      <c r="P304" t="s">
        <v>34</v>
      </c>
      <c r="Q304" t="s">
        <v>37</v>
      </c>
      <c r="R304">
        <v>4.3</v>
      </c>
      <c r="S304">
        <v>6.8</v>
      </c>
      <c r="T304">
        <v>6.9</v>
      </c>
    </row>
    <row r="305" spans="1:20" x14ac:dyDescent="0.3">
      <c r="A305" t="s">
        <v>531</v>
      </c>
      <c r="B305">
        <v>1000</v>
      </c>
      <c r="C305">
        <v>5000</v>
      </c>
      <c r="D305">
        <v>0.36</v>
      </c>
      <c r="E305">
        <v>135</v>
      </c>
      <c r="F305">
        <v>10</v>
      </c>
      <c r="G305" t="s">
        <v>529</v>
      </c>
      <c r="H305">
        <v>0.89</v>
      </c>
      <c r="I305">
        <v>1.08</v>
      </c>
      <c r="J305">
        <v>1.93</v>
      </c>
      <c r="K305">
        <v>0.85</v>
      </c>
      <c r="L305">
        <v>0.68</v>
      </c>
      <c r="M305">
        <v>2</v>
      </c>
      <c r="N305" t="s">
        <v>527</v>
      </c>
      <c r="O305">
        <v>3</v>
      </c>
      <c r="P305" t="s">
        <v>34</v>
      </c>
      <c r="Q305" t="s">
        <v>40</v>
      </c>
      <c r="R305">
        <v>4.5999999999999996</v>
      </c>
      <c r="S305">
        <v>5.7</v>
      </c>
      <c r="T305">
        <v>7.4</v>
      </c>
    </row>
    <row r="306" spans="1:20" x14ac:dyDescent="0.3">
      <c r="A306" t="s">
        <v>532</v>
      </c>
      <c r="B306">
        <v>500</v>
      </c>
      <c r="C306">
        <v>500</v>
      </c>
      <c r="D306">
        <v>1</v>
      </c>
      <c r="E306">
        <v>451</v>
      </c>
      <c r="F306">
        <v>7</v>
      </c>
      <c r="G306" t="s">
        <v>533</v>
      </c>
      <c r="H306">
        <v>3.32</v>
      </c>
      <c r="I306">
        <v>4.67</v>
      </c>
      <c r="J306">
        <v>16.010000000000002</v>
      </c>
      <c r="K306">
        <v>0.92</v>
      </c>
      <c r="L306">
        <v>1.64</v>
      </c>
      <c r="M306">
        <v>6</v>
      </c>
      <c r="N306" t="s">
        <v>527</v>
      </c>
      <c r="O306">
        <v>4</v>
      </c>
      <c r="P306" t="s">
        <v>32</v>
      </c>
      <c r="Q306" t="s">
        <v>64</v>
      </c>
      <c r="R306">
        <v>2.9</v>
      </c>
      <c r="S306">
        <v>31.8</v>
      </c>
      <c r="T306">
        <v>13.7</v>
      </c>
    </row>
    <row r="307" spans="1:20" x14ac:dyDescent="0.3">
      <c r="A307" t="s">
        <v>534</v>
      </c>
      <c r="B307">
        <v>1000</v>
      </c>
      <c r="C307">
        <v>5000</v>
      </c>
      <c r="D307">
        <v>0.42</v>
      </c>
      <c r="E307">
        <v>143</v>
      </c>
      <c r="F307">
        <v>10</v>
      </c>
      <c r="G307" t="s">
        <v>535</v>
      </c>
      <c r="H307">
        <v>4.6100000000000003</v>
      </c>
      <c r="I307">
        <v>4.09</v>
      </c>
      <c r="J307">
        <v>4.51</v>
      </c>
      <c r="K307">
        <v>0.6</v>
      </c>
      <c r="L307">
        <v>1.86</v>
      </c>
      <c r="M307">
        <v>2</v>
      </c>
      <c r="N307" t="s">
        <v>527</v>
      </c>
      <c r="O307">
        <v>3</v>
      </c>
      <c r="P307" t="s">
        <v>27</v>
      </c>
      <c r="Q307" t="s">
        <v>43</v>
      </c>
      <c r="R307">
        <v>4.3</v>
      </c>
      <c r="S307">
        <v>12.6</v>
      </c>
      <c r="T307">
        <v>8</v>
      </c>
    </row>
    <row r="308" spans="1:20" x14ac:dyDescent="0.3">
      <c r="A308" t="s">
        <v>536</v>
      </c>
      <c r="B308">
        <v>1000</v>
      </c>
      <c r="C308">
        <v>100</v>
      </c>
      <c r="D308">
        <v>0.4</v>
      </c>
      <c r="E308">
        <v>5199</v>
      </c>
      <c r="F308">
        <v>8</v>
      </c>
      <c r="G308" t="s">
        <v>537</v>
      </c>
      <c r="H308">
        <v>3.13</v>
      </c>
      <c r="I308">
        <v>5.27</v>
      </c>
      <c r="J308">
        <v>17.809999999999999</v>
      </c>
      <c r="K308">
        <v>0.99</v>
      </c>
      <c r="L308">
        <v>1.6</v>
      </c>
      <c r="M308">
        <v>6</v>
      </c>
      <c r="N308" t="s">
        <v>527</v>
      </c>
      <c r="O308">
        <v>5</v>
      </c>
      <c r="P308" t="s">
        <v>32</v>
      </c>
      <c r="Q308" t="s">
        <v>44</v>
      </c>
      <c r="R308">
        <v>-2.2999999999999998</v>
      </c>
      <c r="S308">
        <v>34</v>
      </c>
      <c r="T308">
        <v>15.7</v>
      </c>
    </row>
    <row r="309" spans="1:20" x14ac:dyDescent="0.3">
      <c r="A309" t="s">
        <v>538</v>
      </c>
      <c r="B309">
        <v>1000</v>
      </c>
      <c r="C309">
        <v>5000</v>
      </c>
      <c r="D309">
        <v>1.44</v>
      </c>
      <c r="E309">
        <v>1336</v>
      </c>
      <c r="F309">
        <v>10</v>
      </c>
      <c r="G309" t="s">
        <v>539</v>
      </c>
      <c r="H309">
        <v>1.01</v>
      </c>
      <c r="I309" t="s">
        <v>36</v>
      </c>
      <c r="J309">
        <v>25.79</v>
      </c>
      <c r="K309" t="s">
        <v>36</v>
      </c>
      <c r="L309">
        <v>0.55000000000000004</v>
      </c>
      <c r="M309">
        <v>6</v>
      </c>
      <c r="N309" t="s">
        <v>527</v>
      </c>
      <c r="O309">
        <v>0</v>
      </c>
      <c r="P309" t="s">
        <v>23</v>
      </c>
      <c r="Q309" t="s">
        <v>48</v>
      </c>
      <c r="R309">
        <v>-7.9</v>
      </c>
      <c r="S309">
        <v>18.899999999999999</v>
      </c>
      <c r="T309">
        <v>14.1</v>
      </c>
    </row>
    <row r="310" spans="1:20" x14ac:dyDescent="0.3">
      <c r="A310" t="s">
        <v>540</v>
      </c>
      <c r="B310">
        <v>1000</v>
      </c>
      <c r="C310">
        <v>5000</v>
      </c>
      <c r="D310">
        <v>0.39</v>
      </c>
      <c r="E310">
        <v>135</v>
      </c>
      <c r="F310">
        <v>10</v>
      </c>
      <c r="G310" t="s">
        <v>529</v>
      </c>
      <c r="H310">
        <v>0.74</v>
      </c>
      <c r="I310">
        <v>0.65</v>
      </c>
      <c r="J310">
        <v>2.16</v>
      </c>
      <c r="K310">
        <v>0.47</v>
      </c>
      <c r="L310">
        <v>0.54</v>
      </c>
      <c r="M310">
        <v>3</v>
      </c>
      <c r="N310" t="s">
        <v>527</v>
      </c>
      <c r="O310">
        <v>3</v>
      </c>
      <c r="P310" t="s">
        <v>34</v>
      </c>
      <c r="Q310" t="s">
        <v>49</v>
      </c>
      <c r="R310">
        <v>4.2</v>
      </c>
      <c r="S310">
        <v>5.3</v>
      </c>
      <c r="T310">
        <v>7</v>
      </c>
    </row>
    <row r="311" spans="1:20" x14ac:dyDescent="0.3">
      <c r="A311" t="s">
        <v>541</v>
      </c>
      <c r="B311">
        <v>1000</v>
      </c>
      <c r="C311">
        <v>5000</v>
      </c>
      <c r="D311">
        <v>0.56000000000000005</v>
      </c>
      <c r="E311">
        <v>1013</v>
      </c>
      <c r="F311">
        <v>10</v>
      </c>
      <c r="G311" t="s">
        <v>542</v>
      </c>
      <c r="H311">
        <v>3.75</v>
      </c>
      <c r="I311">
        <v>16.98</v>
      </c>
      <c r="J311">
        <v>14.41</v>
      </c>
      <c r="K311">
        <v>0.73</v>
      </c>
      <c r="L311">
        <v>2.12</v>
      </c>
      <c r="M311">
        <v>6</v>
      </c>
      <c r="N311" t="s">
        <v>543</v>
      </c>
      <c r="O311">
        <v>5</v>
      </c>
      <c r="P311" t="s">
        <v>27</v>
      </c>
      <c r="Q311" t="s">
        <v>42</v>
      </c>
      <c r="R311">
        <v>7.3</v>
      </c>
      <c r="S311">
        <v>38.200000000000003</v>
      </c>
      <c r="T311">
        <v>19.100000000000001</v>
      </c>
    </row>
    <row r="312" spans="1:20" x14ac:dyDescent="0.3">
      <c r="A312" t="s">
        <v>544</v>
      </c>
      <c r="B312">
        <v>1000</v>
      </c>
      <c r="C312">
        <v>5000</v>
      </c>
      <c r="D312">
        <v>0.57999999999999996</v>
      </c>
      <c r="E312">
        <v>3531</v>
      </c>
      <c r="F312">
        <v>10</v>
      </c>
      <c r="G312" t="s">
        <v>542</v>
      </c>
      <c r="H312">
        <v>3.33</v>
      </c>
      <c r="I312">
        <v>13.82</v>
      </c>
      <c r="J312">
        <v>19.649999999999999</v>
      </c>
      <c r="K312">
        <v>0.97</v>
      </c>
      <c r="L312">
        <v>1.87</v>
      </c>
      <c r="M312">
        <v>6</v>
      </c>
      <c r="N312" t="s">
        <v>543</v>
      </c>
      <c r="O312">
        <v>0</v>
      </c>
      <c r="P312" t="s">
        <v>32</v>
      </c>
      <c r="Q312" t="s">
        <v>110</v>
      </c>
      <c r="R312">
        <v>1</v>
      </c>
      <c r="S312">
        <v>45.5</v>
      </c>
      <c r="T312">
        <v>19.899999999999999</v>
      </c>
    </row>
    <row r="313" spans="1:20" x14ac:dyDescent="0.3">
      <c r="A313" t="s">
        <v>545</v>
      </c>
      <c r="B313">
        <v>1000</v>
      </c>
      <c r="C313">
        <v>5000</v>
      </c>
      <c r="D313">
        <v>0.57999999999999996</v>
      </c>
      <c r="E313">
        <v>1044</v>
      </c>
      <c r="F313">
        <v>10</v>
      </c>
      <c r="G313" t="s">
        <v>546</v>
      </c>
      <c r="H313">
        <v>3.65</v>
      </c>
      <c r="I313">
        <v>15.93</v>
      </c>
      <c r="J313">
        <v>19.16</v>
      </c>
      <c r="K313">
        <v>0.91</v>
      </c>
      <c r="L313">
        <v>1.94</v>
      </c>
      <c r="M313">
        <v>6</v>
      </c>
      <c r="N313" t="s">
        <v>543</v>
      </c>
      <c r="O313">
        <v>5</v>
      </c>
      <c r="P313" t="s">
        <v>32</v>
      </c>
      <c r="Q313" t="s">
        <v>44</v>
      </c>
      <c r="R313">
        <v>6.8</v>
      </c>
      <c r="S313">
        <v>47.7</v>
      </c>
      <c r="T313">
        <v>18.2</v>
      </c>
    </row>
    <row r="314" spans="1:20" x14ac:dyDescent="0.3">
      <c r="A314" t="s">
        <v>547</v>
      </c>
      <c r="B314">
        <v>1000</v>
      </c>
      <c r="C314">
        <v>5000</v>
      </c>
      <c r="D314">
        <v>0.56999999999999995</v>
      </c>
      <c r="E314">
        <v>219</v>
      </c>
      <c r="F314">
        <v>10</v>
      </c>
      <c r="G314" t="s">
        <v>542</v>
      </c>
      <c r="H314">
        <v>3.14</v>
      </c>
      <c r="I314">
        <v>8.6</v>
      </c>
      <c r="J314">
        <v>17.34</v>
      </c>
      <c r="K314">
        <v>0.85</v>
      </c>
      <c r="L314">
        <v>1.61</v>
      </c>
      <c r="M314">
        <v>6</v>
      </c>
      <c r="N314" t="s">
        <v>543</v>
      </c>
      <c r="O314">
        <v>5</v>
      </c>
      <c r="P314" t="s">
        <v>32</v>
      </c>
      <c r="Q314" t="s">
        <v>46</v>
      </c>
      <c r="R314">
        <v>5.2</v>
      </c>
      <c r="S314">
        <v>33.700000000000003</v>
      </c>
      <c r="T314">
        <v>13.1</v>
      </c>
    </row>
    <row r="315" spans="1:20" x14ac:dyDescent="0.3">
      <c r="A315" t="s">
        <v>548</v>
      </c>
      <c r="B315">
        <v>1000</v>
      </c>
      <c r="C315">
        <v>5000</v>
      </c>
      <c r="D315">
        <v>0.64</v>
      </c>
      <c r="E315">
        <v>822</v>
      </c>
      <c r="F315">
        <v>10</v>
      </c>
      <c r="G315" t="s">
        <v>546</v>
      </c>
      <c r="H315">
        <v>3.44</v>
      </c>
      <c r="I315">
        <v>27.24</v>
      </c>
      <c r="J315">
        <v>19.239999999999998</v>
      </c>
      <c r="K315">
        <v>0.53</v>
      </c>
      <c r="L315">
        <v>2.2999999999999998</v>
      </c>
      <c r="M315">
        <v>6</v>
      </c>
      <c r="N315" t="s">
        <v>543</v>
      </c>
      <c r="O315">
        <v>5</v>
      </c>
      <c r="P315" t="s">
        <v>32</v>
      </c>
      <c r="Q315" t="s">
        <v>33</v>
      </c>
      <c r="R315">
        <v>5.6</v>
      </c>
      <c r="S315">
        <v>61.5</v>
      </c>
      <c r="T315">
        <v>21.1</v>
      </c>
    </row>
    <row r="316" spans="1:20" x14ac:dyDescent="0.3">
      <c r="A316" t="s">
        <v>549</v>
      </c>
      <c r="B316">
        <v>1000</v>
      </c>
      <c r="C316">
        <v>5000</v>
      </c>
      <c r="D316">
        <v>0.56000000000000005</v>
      </c>
      <c r="E316">
        <v>652</v>
      </c>
      <c r="F316">
        <v>10</v>
      </c>
      <c r="G316" t="s">
        <v>542</v>
      </c>
      <c r="H316">
        <v>3.12</v>
      </c>
      <c r="I316">
        <v>6.57</v>
      </c>
      <c r="J316">
        <v>17.72</v>
      </c>
      <c r="K316">
        <v>0.88</v>
      </c>
      <c r="L316">
        <v>1.51</v>
      </c>
      <c r="M316">
        <v>6</v>
      </c>
      <c r="N316" t="s">
        <v>543</v>
      </c>
      <c r="O316">
        <v>5</v>
      </c>
      <c r="P316" t="s">
        <v>32</v>
      </c>
      <c r="Q316" t="s">
        <v>41</v>
      </c>
      <c r="R316">
        <v>6.9</v>
      </c>
      <c r="S316">
        <v>33</v>
      </c>
      <c r="T316">
        <v>14.2</v>
      </c>
    </row>
    <row r="317" spans="1:20" x14ac:dyDescent="0.3">
      <c r="A317" t="s">
        <v>550</v>
      </c>
      <c r="B317">
        <v>1000</v>
      </c>
      <c r="C317">
        <v>5000</v>
      </c>
      <c r="D317">
        <v>0.28999999999999998</v>
      </c>
      <c r="E317">
        <v>1561</v>
      </c>
      <c r="F317">
        <v>10</v>
      </c>
      <c r="G317" t="s">
        <v>542</v>
      </c>
      <c r="H317">
        <v>8.6</v>
      </c>
      <c r="I317">
        <v>1.58</v>
      </c>
      <c r="J317">
        <v>0.27</v>
      </c>
      <c r="K317">
        <v>0.47</v>
      </c>
      <c r="L317">
        <v>3.52</v>
      </c>
      <c r="M317">
        <v>2</v>
      </c>
      <c r="N317" t="s">
        <v>543</v>
      </c>
      <c r="O317">
        <v>5</v>
      </c>
      <c r="P317" t="s">
        <v>34</v>
      </c>
      <c r="Q317" t="s">
        <v>51</v>
      </c>
      <c r="R317">
        <v>5.6</v>
      </c>
      <c r="S317">
        <v>4.9000000000000004</v>
      </c>
      <c r="T317">
        <v>5.9</v>
      </c>
    </row>
    <row r="318" spans="1:20" x14ac:dyDescent="0.3">
      <c r="A318" t="s">
        <v>551</v>
      </c>
      <c r="B318">
        <v>1000</v>
      </c>
      <c r="C318">
        <v>5000</v>
      </c>
      <c r="D318">
        <v>0.63</v>
      </c>
      <c r="E318">
        <v>1550</v>
      </c>
      <c r="F318">
        <v>10</v>
      </c>
      <c r="G318" t="s">
        <v>542</v>
      </c>
      <c r="H318">
        <v>3.58</v>
      </c>
      <c r="I318">
        <v>11.21</v>
      </c>
      <c r="J318">
        <v>18.73</v>
      </c>
      <c r="K318">
        <v>0.86</v>
      </c>
      <c r="L318">
        <v>1.95</v>
      </c>
      <c r="M318">
        <v>6</v>
      </c>
      <c r="N318" t="s">
        <v>543</v>
      </c>
      <c r="O318">
        <v>5</v>
      </c>
      <c r="P318" t="s">
        <v>32</v>
      </c>
      <c r="Q318" t="s">
        <v>54</v>
      </c>
      <c r="R318">
        <v>8.8000000000000007</v>
      </c>
      <c r="S318">
        <v>45.1</v>
      </c>
      <c r="T318">
        <v>19.8</v>
      </c>
    </row>
    <row r="319" spans="1:20" x14ac:dyDescent="0.3">
      <c r="A319" t="s">
        <v>552</v>
      </c>
      <c r="B319">
        <v>1000</v>
      </c>
      <c r="C319">
        <v>5000</v>
      </c>
      <c r="D319">
        <v>0.56000000000000005</v>
      </c>
      <c r="E319">
        <v>634</v>
      </c>
      <c r="F319">
        <v>10</v>
      </c>
      <c r="G319" t="s">
        <v>546</v>
      </c>
      <c r="H319">
        <v>3.23</v>
      </c>
      <c r="I319">
        <v>19.52</v>
      </c>
      <c r="J319">
        <v>18.63</v>
      </c>
      <c r="K319">
        <v>0.75</v>
      </c>
      <c r="L319">
        <v>1.79</v>
      </c>
      <c r="M319">
        <v>6</v>
      </c>
      <c r="N319" t="s">
        <v>543</v>
      </c>
      <c r="O319">
        <v>5</v>
      </c>
      <c r="P319" t="s">
        <v>27</v>
      </c>
      <c r="Q319" t="s">
        <v>81</v>
      </c>
      <c r="R319">
        <v>10.6</v>
      </c>
      <c r="S319">
        <v>42.6</v>
      </c>
      <c r="T319">
        <v>20.5</v>
      </c>
    </row>
    <row r="320" spans="1:20" x14ac:dyDescent="0.3">
      <c r="A320" t="s">
        <v>553</v>
      </c>
      <c r="B320">
        <v>1000</v>
      </c>
      <c r="C320">
        <v>5000</v>
      </c>
      <c r="D320">
        <v>0.64</v>
      </c>
      <c r="E320">
        <v>3301</v>
      </c>
      <c r="F320">
        <v>10</v>
      </c>
      <c r="G320" t="s">
        <v>542</v>
      </c>
      <c r="H320">
        <v>3.71</v>
      </c>
      <c r="I320">
        <v>19.16</v>
      </c>
      <c r="J320">
        <v>24.75</v>
      </c>
      <c r="K320">
        <v>0.99</v>
      </c>
      <c r="L320">
        <v>2.11</v>
      </c>
      <c r="M320">
        <v>6</v>
      </c>
      <c r="N320" t="s">
        <v>543</v>
      </c>
      <c r="O320">
        <v>5</v>
      </c>
      <c r="P320" t="s">
        <v>32</v>
      </c>
      <c r="Q320" t="s">
        <v>63</v>
      </c>
      <c r="R320">
        <v>5.4</v>
      </c>
      <c r="S320">
        <v>71.400000000000006</v>
      </c>
      <c r="T320">
        <v>23.2</v>
      </c>
    </row>
    <row r="321" spans="1:20" x14ac:dyDescent="0.3">
      <c r="A321" t="s">
        <v>554</v>
      </c>
      <c r="B321">
        <v>500</v>
      </c>
      <c r="C321">
        <v>500</v>
      </c>
      <c r="D321">
        <v>0.56999999999999995</v>
      </c>
      <c r="E321">
        <v>2779</v>
      </c>
      <c r="F321">
        <v>10</v>
      </c>
      <c r="G321" t="s">
        <v>546</v>
      </c>
      <c r="H321">
        <v>3.5</v>
      </c>
      <c r="I321">
        <v>17.63</v>
      </c>
      <c r="J321">
        <v>19.739999999999998</v>
      </c>
      <c r="K321">
        <v>0.96</v>
      </c>
      <c r="L321">
        <v>2.0299999999999998</v>
      </c>
      <c r="M321">
        <v>6</v>
      </c>
      <c r="N321" t="s">
        <v>543</v>
      </c>
      <c r="O321">
        <v>5</v>
      </c>
      <c r="P321" t="s">
        <v>32</v>
      </c>
      <c r="Q321" t="s">
        <v>64</v>
      </c>
      <c r="R321">
        <v>0.9</v>
      </c>
      <c r="S321">
        <v>54.9</v>
      </c>
      <c r="T321">
        <v>22.2</v>
      </c>
    </row>
    <row r="322" spans="1:20" x14ac:dyDescent="0.3">
      <c r="A322" t="s">
        <v>555</v>
      </c>
      <c r="B322">
        <v>500</v>
      </c>
      <c r="C322">
        <v>500</v>
      </c>
      <c r="D322">
        <v>0.61</v>
      </c>
      <c r="E322">
        <v>85</v>
      </c>
      <c r="F322">
        <v>8</v>
      </c>
      <c r="G322" t="s">
        <v>556</v>
      </c>
      <c r="H322">
        <v>1.05</v>
      </c>
      <c r="I322">
        <v>0.93</v>
      </c>
      <c r="J322">
        <v>1.77</v>
      </c>
      <c r="K322">
        <v>0.83</v>
      </c>
      <c r="L322">
        <v>0.66</v>
      </c>
      <c r="M322">
        <v>3</v>
      </c>
      <c r="N322" t="s">
        <v>557</v>
      </c>
      <c r="O322">
        <v>3</v>
      </c>
      <c r="P322" t="s">
        <v>34</v>
      </c>
      <c r="Q322" t="s">
        <v>40</v>
      </c>
      <c r="R322">
        <v>5.4</v>
      </c>
      <c r="S322">
        <v>5.9</v>
      </c>
      <c r="T322">
        <v>6.9</v>
      </c>
    </row>
    <row r="323" spans="1:20" x14ac:dyDescent="0.3">
      <c r="A323" t="s">
        <v>558</v>
      </c>
      <c r="B323">
        <v>500</v>
      </c>
      <c r="C323">
        <v>500</v>
      </c>
      <c r="D323">
        <v>0.51</v>
      </c>
      <c r="E323">
        <v>88</v>
      </c>
      <c r="F323">
        <v>14</v>
      </c>
      <c r="G323" t="s">
        <v>559</v>
      </c>
      <c r="H323">
        <v>3.01</v>
      </c>
      <c r="I323">
        <v>-0.78</v>
      </c>
      <c r="J323">
        <v>14.75</v>
      </c>
      <c r="K323">
        <v>0.86</v>
      </c>
      <c r="L323">
        <v>1.32</v>
      </c>
      <c r="M323">
        <v>6</v>
      </c>
      <c r="N323" t="s">
        <v>557</v>
      </c>
      <c r="O323">
        <v>2</v>
      </c>
      <c r="P323" t="s">
        <v>23</v>
      </c>
      <c r="Q323" t="s">
        <v>24</v>
      </c>
      <c r="R323">
        <v>-0.5</v>
      </c>
      <c r="S323">
        <v>22.9</v>
      </c>
      <c r="T323">
        <v>9.1</v>
      </c>
    </row>
    <row r="324" spans="1:20" x14ac:dyDescent="0.3">
      <c r="A324" t="s">
        <v>560</v>
      </c>
      <c r="B324">
        <v>500</v>
      </c>
      <c r="C324">
        <v>500</v>
      </c>
      <c r="D324">
        <v>0.06</v>
      </c>
      <c r="E324">
        <v>83</v>
      </c>
      <c r="F324">
        <v>12</v>
      </c>
      <c r="G324" t="s">
        <v>559</v>
      </c>
      <c r="H324">
        <v>0.98</v>
      </c>
      <c r="I324">
        <v>-0.98</v>
      </c>
      <c r="J324">
        <v>13.78</v>
      </c>
      <c r="K324">
        <v>0.99</v>
      </c>
      <c r="L324">
        <v>0.44</v>
      </c>
      <c r="M324">
        <v>5</v>
      </c>
      <c r="N324" t="s">
        <v>557</v>
      </c>
      <c r="O324">
        <v>1</v>
      </c>
      <c r="P324" t="s">
        <v>23</v>
      </c>
      <c r="Q324" t="s">
        <v>24</v>
      </c>
      <c r="R324">
        <v>14.3</v>
      </c>
      <c r="S324">
        <v>11.7</v>
      </c>
      <c r="T324">
        <v>13</v>
      </c>
    </row>
    <row r="325" spans="1:20" x14ac:dyDescent="0.3">
      <c r="A325" t="s">
        <v>561</v>
      </c>
      <c r="B325">
        <v>500</v>
      </c>
      <c r="C325">
        <v>5000</v>
      </c>
      <c r="D325">
        <v>0.15</v>
      </c>
      <c r="E325">
        <v>628</v>
      </c>
      <c r="F325">
        <v>17</v>
      </c>
      <c r="G325" t="s">
        <v>556</v>
      </c>
      <c r="H325">
        <v>0.92</v>
      </c>
      <c r="I325">
        <v>0.94</v>
      </c>
      <c r="J325">
        <v>0.36</v>
      </c>
      <c r="K325">
        <v>0.65</v>
      </c>
      <c r="L325">
        <v>0.19</v>
      </c>
      <c r="M325">
        <v>1</v>
      </c>
      <c r="N325" t="s">
        <v>557</v>
      </c>
      <c r="O325">
        <v>2</v>
      </c>
      <c r="P325" t="s">
        <v>34</v>
      </c>
      <c r="Q325" t="s">
        <v>51</v>
      </c>
      <c r="R325">
        <v>5.4</v>
      </c>
      <c r="S325">
        <v>4</v>
      </c>
      <c r="T325">
        <v>4.9000000000000004</v>
      </c>
    </row>
    <row r="326" spans="1:20" x14ac:dyDescent="0.3">
      <c r="A326" t="s">
        <v>562</v>
      </c>
      <c r="B326">
        <v>500</v>
      </c>
      <c r="C326">
        <v>500</v>
      </c>
      <c r="D326">
        <v>1.29</v>
      </c>
      <c r="E326">
        <v>837</v>
      </c>
      <c r="F326">
        <v>17</v>
      </c>
      <c r="G326" t="s">
        <v>563</v>
      </c>
      <c r="H326">
        <v>3</v>
      </c>
      <c r="I326">
        <v>2.04</v>
      </c>
      <c r="J326">
        <v>15.72</v>
      </c>
      <c r="K326">
        <v>0.9</v>
      </c>
      <c r="L326">
        <v>1.42</v>
      </c>
      <c r="M326">
        <v>6</v>
      </c>
      <c r="N326" t="s">
        <v>557</v>
      </c>
      <c r="O326">
        <v>2</v>
      </c>
      <c r="P326" t="s">
        <v>32</v>
      </c>
      <c r="Q326" t="s">
        <v>58</v>
      </c>
      <c r="R326">
        <v>2.4</v>
      </c>
      <c r="S326">
        <v>26.5</v>
      </c>
      <c r="T326">
        <v>8.8000000000000007</v>
      </c>
    </row>
    <row r="327" spans="1:20" x14ac:dyDescent="0.3">
      <c r="A327" t="s">
        <v>564</v>
      </c>
      <c r="B327">
        <v>500</v>
      </c>
      <c r="C327">
        <v>500</v>
      </c>
      <c r="D327">
        <v>0.1</v>
      </c>
      <c r="E327">
        <v>49</v>
      </c>
      <c r="F327">
        <v>11</v>
      </c>
      <c r="G327" t="s">
        <v>559</v>
      </c>
      <c r="H327">
        <v>3.12</v>
      </c>
      <c r="I327">
        <v>0.61</v>
      </c>
      <c r="J327">
        <v>6.73</v>
      </c>
      <c r="K327">
        <v>0.42</v>
      </c>
      <c r="L327">
        <v>1.24</v>
      </c>
      <c r="M327">
        <v>4</v>
      </c>
      <c r="N327" t="s">
        <v>557</v>
      </c>
      <c r="O327">
        <v>3</v>
      </c>
      <c r="P327" t="s">
        <v>23</v>
      </c>
      <c r="Q327" t="s">
        <v>24</v>
      </c>
      <c r="R327">
        <v>5.5</v>
      </c>
      <c r="S327">
        <v>12.4</v>
      </c>
      <c r="T327">
        <v>8.1</v>
      </c>
    </row>
    <row r="328" spans="1:20" x14ac:dyDescent="0.3">
      <c r="A328" t="s">
        <v>565</v>
      </c>
      <c r="B328">
        <v>500</v>
      </c>
      <c r="C328">
        <v>500</v>
      </c>
      <c r="D328">
        <v>1.29</v>
      </c>
      <c r="E328">
        <v>115</v>
      </c>
      <c r="F328">
        <v>14</v>
      </c>
      <c r="G328" t="s">
        <v>566</v>
      </c>
      <c r="H328">
        <v>3.04</v>
      </c>
      <c r="I328">
        <v>1.68</v>
      </c>
      <c r="J328">
        <v>15.47</v>
      </c>
      <c r="K328">
        <v>0.88</v>
      </c>
      <c r="L328">
        <v>1.44</v>
      </c>
      <c r="M328">
        <v>6</v>
      </c>
      <c r="N328" t="s">
        <v>557</v>
      </c>
      <c r="O328">
        <v>3</v>
      </c>
      <c r="P328" t="s">
        <v>32</v>
      </c>
      <c r="Q328" t="s">
        <v>64</v>
      </c>
      <c r="R328">
        <v>2.9</v>
      </c>
      <c r="S328">
        <v>26.6</v>
      </c>
      <c r="T328">
        <v>8.9</v>
      </c>
    </row>
    <row r="329" spans="1:20" x14ac:dyDescent="0.3">
      <c r="A329" t="s">
        <v>567</v>
      </c>
      <c r="B329">
        <v>500</v>
      </c>
      <c r="C329">
        <v>5000</v>
      </c>
      <c r="D329">
        <v>0.36</v>
      </c>
      <c r="E329">
        <v>8800</v>
      </c>
      <c r="F329">
        <v>10</v>
      </c>
      <c r="G329" t="s">
        <v>568</v>
      </c>
      <c r="H329">
        <v>0.93</v>
      </c>
      <c r="I329">
        <v>1.18</v>
      </c>
      <c r="J329">
        <v>0.76</v>
      </c>
      <c r="K329">
        <v>0.45</v>
      </c>
      <c r="L329">
        <v>0.77</v>
      </c>
      <c r="M329">
        <v>1</v>
      </c>
      <c r="N329" t="s">
        <v>569</v>
      </c>
      <c r="O329">
        <v>2</v>
      </c>
      <c r="P329" t="s">
        <v>27</v>
      </c>
      <c r="Q329" t="s">
        <v>28</v>
      </c>
      <c r="R329">
        <v>5.8</v>
      </c>
      <c r="S329">
        <v>4.5</v>
      </c>
      <c r="T329">
        <v>5.4</v>
      </c>
    </row>
    <row r="330" spans="1:20" x14ac:dyDescent="0.3">
      <c r="A330" t="s">
        <v>570</v>
      </c>
      <c r="B330">
        <v>500</v>
      </c>
      <c r="C330">
        <v>5000</v>
      </c>
      <c r="D330">
        <v>0.78</v>
      </c>
      <c r="E330">
        <v>3747</v>
      </c>
      <c r="F330">
        <v>8</v>
      </c>
      <c r="G330" t="s">
        <v>571</v>
      </c>
      <c r="H330">
        <v>1.98</v>
      </c>
      <c r="I330">
        <v>0.4</v>
      </c>
      <c r="J330">
        <v>22.28</v>
      </c>
      <c r="K330">
        <v>0.85</v>
      </c>
      <c r="L330">
        <v>0.95</v>
      </c>
      <c r="M330">
        <v>6</v>
      </c>
      <c r="N330" t="s">
        <v>569</v>
      </c>
      <c r="O330">
        <v>5</v>
      </c>
      <c r="P330" t="s">
        <v>32</v>
      </c>
      <c r="Q330" t="s">
        <v>33</v>
      </c>
      <c r="R330">
        <v>5.5</v>
      </c>
      <c r="S330">
        <v>22.4</v>
      </c>
      <c r="T330">
        <v>12.5</v>
      </c>
    </row>
    <row r="331" spans="1:20" x14ac:dyDescent="0.3">
      <c r="A331" t="s">
        <v>572</v>
      </c>
      <c r="B331">
        <v>500</v>
      </c>
      <c r="C331">
        <v>5000</v>
      </c>
      <c r="D331">
        <v>0.35</v>
      </c>
      <c r="E331">
        <v>4982</v>
      </c>
      <c r="F331">
        <v>10</v>
      </c>
      <c r="G331" t="s">
        <v>573</v>
      </c>
      <c r="H331">
        <v>1.17</v>
      </c>
      <c r="I331">
        <v>4.72</v>
      </c>
      <c r="J331">
        <v>2.06</v>
      </c>
      <c r="K331">
        <v>2.4</v>
      </c>
      <c r="L331">
        <v>0.73</v>
      </c>
      <c r="M331">
        <v>3</v>
      </c>
      <c r="N331" t="s">
        <v>569</v>
      </c>
      <c r="O331">
        <v>2</v>
      </c>
      <c r="P331" t="s">
        <v>34</v>
      </c>
      <c r="Q331" t="s">
        <v>35</v>
      </c>
      <c r="R331">
        <v>3.8</v>
      </c>
      <c r="S331">
        <v>6.2</v>
      </c>
      <c r="T331">
        <v>7</v>
      </c>
    </row>
    <row r="332" spans="1:20" x14ac:dyDescent="0.3">
      <c r="A332" t="s">
        <v>574</v>
      </c>
      <c r="B332">
        <v>500</v>
      </c>
      <c r="C332">
        <v>5000</v>
      </c>
      <c r="D332">
        <v>0.9</v>
      </c>
      <c r="E332">
        <v>33987</v>
      </c>
      <c r="F332">
        <v>10</v>
      </c>
      <c r="G332" t="s">
        <v>575</v>
      </c>
      <c r="H332">
        <v>3.98</v>
      </c>
      <c r="I332">
        <v>1.08</v>
      </c>
      <c r="J332">
        <v>16.39</v>
      </c>
      <c r="K332">
        <v>0.96</v>
      </c>
      <c r="L332">
        <v>1.39</v>
      </c>
      <c r="M332">
        <v>6</v>
      </c>
      <c r="N332" t="s">
        <v>569</v>
      </c>
      <c r="O332">
        <v>3</v>
      </c>
      <c r="P332" t="s">
        <v>32</v>
      </c>
      <c r="Q332" t="s">
        <v>47</v>
      </c>
      <c r="R332">
        <v>4.2</v>
      </c>
      <c r="S332">
        <v>27</v>
      </c>
      <c r="T332">
        <v>11.4</v>
      </c>
    </row>
    <row r="333" spans="1:20" x14ac:dyDescent="0.3">
      <c r="A333" t="s">
        <v>576</v>
      </c>
      <c r="B333">
        <v>500</v>
      </c>
      <c r="C333">
        <v>5000</v>
      </c>
      <c r="D333">
        <v>0.56999999999999995</v>
      </c>
      <c r="E333">
        <v>7250</v>
      </c>
      <c r="F333">
        <v>10</v>
      </c>
      <c r="G333" t="s">
        <v>577</v>
      </c>
      <c r="H333">
        <v>4.24</v>
      </c>
      <c r="I333">
        <v>5.19</v>
      </c>
      <c r="J333">
        <v>4.1100000000000003</v>
      </c>
      <c r="K333">
        <v>0.56000000000000005</v>
      </c>
      <c r="L333">
        <v>2.23</v>
      </c>
      <c r="M333">
        <v>5</v>
      </c>
      <c r="N333" t="s">
        <v>569</v>
      </c>
      <c r="O333">
        <v>4</v>
      </c>
      <c r="P333" t="s">
        <v>27</v>
      </c>
      <c r="Q333" t="s">
        <v>59</v>
      </c>
      <c r="R333">
        <v>6.2</v>
      </c>
      <c r="S333">
        <v>13.8</v>
      </c>
      <c r="T333">
        <v>8.8000000000000007</v>
      </c>
    </row>
    <row r="334" spans="1:20" x14ac:dyDescent="0.3">
      <c r="A334" t="s">
        <v>578</v>
      </c>
      <c r="B334">
        <v>500</v>
      </c>
      <c r="C334">
        <v>5000</v>
      </c>
      <c r="D334">
        <v>1.18</v>
      </c>
      <c r="E334">
        <v>1185</v>
      </c>
      <c r="F334">
        <v>10</v>
      </c>
      <c r="G334" t="s">
        <v>577</v>
      </c>
      <c r="H334">
        <v>3.65</v>
      </c>
      <c r="I334">
        <v>10.039999999999999</v>
      </c>
      <c r="J334">
        <v>15.53</v>
      </c>
      <c r="K334">
        <v>0.76</v>
      </c>
      <c r="L334">
        <v>1.77</v>
      </c>
      <c r="M334">
        <v>6</v>
      </c>
      <c r="N334" t="s">
        <v>569</v>
      </c>
      <c r="O334">
        <v>4</v>
      </c>
      <c r="P334" t="s">
        <v>32</v>
      </c>
      <c r="Q334" t="s">
        <v>33</v>
      </c>
      <c r="R334">
        <v>11.1</v>
      </c>
      <c r="S334">
        <v>31</v>
      </c>
      <c r="T334">
        <v>12.7</v>
      </c>
    </row>
    <row r="335" spans="1:20" x14ac:dyDescent="0.3">
      <c r="A335" t="s">
        <v>579</v>
      </c>
      <c r="B335">
        <v>500</v>
      </c>
      <c r="C335">
        <v>5000</v>
      </c>
      <c r="D335">
        <v>0.91</v>
      </c>
      <c r="E335">
        <v>8340</v>
      </c>
      <c r="F335">
        <v>10</v>
      </c>
      <c r="G335" t="s">
        <v>580</v>
      </c>
      <c r="H335">
        <v>4.43</v>
      </c>
      <c r="I335">
        <v>15.26</v>
      </c>
      <c r="J335">
        <v>16.559999999999999</v>
      </c>
      <c r="K335">
        <v>0.89</v>
      </c>
      <c r="L335">
        <v>2.13</v>
      </c>
      <c r="M335">
        <v>6</v>
      </c>
      <c r="N335" t="s">
        <v>569</v>
      </c>
      <c r="O335">
        <v>5</v>
      </c>
      <c r="P335" t="s">
        <v>32</v>
      </c>
      <c r="Q335" t="s">
        <v>325</v>
      </c>
      <c r="R335">
        <v>15</v>
      </c>
      <c r="S335">
        <v>43.4</v>
      </c>
      <c r="T335">
        <v>15.6</v>
      </c>
    </row>
    <row r="336" spans="1:20" x14ac:dyDescent="0.3">
      <c r="A336" t="s">
        <v>581</v>
      </c>
      <c r="B336">
        <v>500</v>
      </c>
      <c r="C336">
        <v>5000</v>
      </c>
      <c r="D336">
        <v>0.34</v>
      </c>
      <c r="E336">
        <v>16551</v>
      </c>
      <c r="F336">
        <v>4</v>
      </c>
      <c r="G336" t="s">
        <v>573</v>
      </c>
      <c r="H336">
        <v>1.54</v>
      </c>
      <c r="I336">
        <v>1.51</v>
      </c>
      <c r="J336">
        <v>1.88</v>
      </c>
      <c r="K336">
        <v>0.75</v>
      </c>
      <c r="L336">
        <v>0.92</v>
      </c>
      <c r="M336">
        <v>2</v>
      </c>
      <c r="N336" t="s">
        <v>569</v>
      </c>
      <c r="O336">
        <v>3</v>
      </c>
      <c r="P336" t="s">
        <v>34</v>
      </c>
      <c r="Q336" t="s">
        <v>37</v>
      </c>
      <c r="R336">
        <v>4.0999999999999996</v>
      </c>
      <c r="S336">
        <v>6.4</v>
      </c>
    </row>
    <row r="337" spans="1:20" x14ac:dyDescent="0.3">
      <c r="A337" t="s">
        <v>582</v>
      </c>
      <c r="B337">
        <v>500</v>
      </c>
      <c r="C337">
        <v>10000</v>
      </c>
      <c r="D337">
        <v>0.92</v>
      </c>
      <c r="E337">
        <v>2782</v>
      </c>
      <c r="F337">
        <v>10</v>
      </c>
      <c r="G337" t="s">
        <v>583</v>
      </c>
      <c r="H337">
        <v>2.0499999999999998</v>
      </c>
      <c r="I337">
        <v>2.96</v>
      </c>
      <c r="J337">
        <v>1.82</v>
      </c>
      <c r="K337">
        <v>0.17</v>
      </c>
      <c r="L337">
        <v>1.5</v>
      </c>
      <c r="M337">
        <v>5</v>
      </c>
      <c r="N337" t="s">
        <v>569</v>
      </c>
      <c r="O337">
        <v>3</v>
      </c>
      <c r="P337" t="s">
        <v>34</v>
      </c>
      <c r="Q337" t="s">
        <v>38</v>
      </c>
      <c r="R337">
        <v>5.2</v>
      </c>
      <c r="S337">
        <v>7.2</v>
      </c>
      <c r="T337">
        <v>7</v>
      </c>
    </row>
    <row r="338" spans="1:20" x14ac:dyDescent="0.3">
      <c r="A338" t="s">
        <v>584</v>
      </c>
      <c r="B338">
        <v>500</v>
      </c>
      <c r="C338">
        <v>5000</v>
      </c>
      <c r="D338">
        <v>0.87</v>
      </c>
      <c r="E338">
        <v>2407</v>
      </c>
      <c r="F338">
        <v>10</v>
      </c>
      <c r="G338" t="s">
        <v>585</v>
      </c>
      <c r="H338">
        <v>0.88</v>
      </c>
      <c r="I338">
        <v>1.34</v>
      </c>
      <c r="J338">
        <v>2.4900000000000002</v>
      </c>
      <c r="K338">
        <v>1.06</v>
      </c>
      <c r="L338">
        <v>0.66</v>
      </c>
      <c r="M338">
        <v>3</v>
      </c>
      <c r="N338" t="s">
        <v>569</v>
      </c>
      <c r="O338">
        <v>4</v>
      </c>
      <c r="P338" t="s">
        <v>34</v>
      </c>
      <c r="Q338" t="s">
        <v>40</v>
      </c>
      <c r="R338">
        <v>5.9</v>
      </c>
      <c r="S338">
        <v>5.9</v>
      </c>
      <c r="T338">
        <v>7.9</v>
      </c>
    </row>
    <row r="339" spans="1:20" x14ac:dyDescent="0.3">
      <c r="A339" t="s">
        <v>586</v>
      </c>
      <c r="B339">
        <v>500</v>
      </c>
      <c r="C339">
        <v>1000</v>
      </c>
      <c r="D339">
        <v>0.79</v>
      </c>
      <c r="E339">
        <v>54492</v>
      </c>
      <c r="F339">
        <v>10</v>
      </c>
      <c r="G339" t="s">
        <v>587</v>
      </c>
      <c r="H339">
        <v>2.77</v>
      </c>
      <c r="I339">
        <v>0.1</v>
      </c>
      <c r="J339">
        <v>11.8</v>
      </c>
      <c r="K339">
        <v>0.79</v>
      </c>
      <c r="L339">
        <v>1.25</v>
      </c>
      <c r="M339">
        <v>6</v>
      </c>
      <c r="N339" t="s">
        <v>569</v>
      </c>
      <c r="O339">
        <v>3</v>
      </c>
      <c r="P339" t="s">
        <v>27</v>
      </c>
      <c r="Q339" t="s">
        <v>42</v>
      </c>
      <c r="R339">
        <v>-1.9</v>
      </c>
      <c r="S339">
        <v>18.399999999999999</v>
      </c>
      <c r="T339">
        <v>10.8</v>
      </c>
    </row>
    <row r="340" spans="1:20" x14ac:dyDescent="0.3">
      <c r="A340" t="s">
        <v>588</v>
      </c>
      <c r="B340">
        <v>500</v>
      </c>
      <c r="C340">
        <v>5000</v>
      </c>
      <c r="D340">
        <v>0.42</v>
      </c>
      <c r="E340">
        <v>134</v>
      </c>
      <c r="F340">
        <v>4</v>
      </c>
      <c r="G340" t="s">
        <v>589</v>
      </c>
      <c r="H340">
        <v>3.09</v>
      </c>
      <c r="I340">
        <v>2.72</v>
      </c>
      <c r="J340">
        <v>14.84</v>
      </c>
      <c r="K340">
        <v>0.81</v>
      </c>
      <c r="L340">
        <v>1.47</v>
      </c>
      <c r="M340">
        <v>6</v>
      </c>
      <c r="N340" t="s">
        <v>569</v>
      </c>
      <c r="O340">
        <v>0</v>
      </c>
      <c r="P340" t="s">
        <v>32</v>
      </c>
      <c r="Q340" t="s">
        <v>33</v>
      </c>
      <c r="R340">
        <v>4.9000000000000004</v>
      </c>
      <c r="S340">
        <v>27</v>
      </c>
    </row>
    <row r="341" spans="1:20" x14ac:dyDescent="0.3">
      <c r="A341" t="s">
        <v>591</v>
      </c>
      <c r="B341">
        <v>0</v>
      </c>
      <c r="C341">
        <v>500</v>
      </c>
      <c r="D341">
        <v>1.76</v>
      </c>
      <c r="E341">
        <v>30</v>
      </c>
      <c r="F341">
        <v>8</v>
      </c>
      <c r="G341" t="s">
        <v>587</v>
      </c>
      <c r="H341">
        <v>3.76</v>
      </c>
      <c r="I341">
        <v>9.7200000000000006</v>
      </c>
      <c r="J341">
        <v>15.74</v>
      </c>
      <c r="K341">
        <v>0.83</v>
      </c>
      <c r="L341">
        <v>1.85</v>
      </c>
      <c r="M341">
        <v>4</v>
      </c>
      <c r="N341" t="s">
        <v>569</v>
      </c>
      <c r="O341">
        <v>0</v>
      </c>
      <c r="P341" t="s">
        <v>32</v>
      </c>
      <c r="Q341" t="s">
        <v>64</v>
      </c>
      <c r="R341">
        <v>0.5</v>
      </c>
      <c r="S341">
        <v>35.5</v>
      </c>
      <c r="T341">
        <v>14.5</v>
      </c>
    </row>
    <row r="342" spans="1:20" x14ac:dyDescent="0.3">
      <c r="A342" t="s">
        <v>591</v>
      </c>
      <c r="B342">
        <v>0</v>
      </c>
      <c r="C342">
        <v>500</v>
      </c>
      <c r="D342">
        <v>1.76</v>
      </c>
      <c r="E342">
        <v>36</v>
      </c>
      <c r="F342">
        <v>8</v>
      </c>
      <c r="G342" t="s">
        <v>587</v>
      </c>
      <c r="H342">
        <v>3.69</v>
      </c>
      <c r="I342">
        <v>10.17</v>
      </c>
      <c r="J342">
        <v>15.98</v>
      </c>
      <c r="K342">
        <v>0.84</v>
      </c>
      <c r="L342">
        <v>1.87</v>
      </c>
      <c r="M342">
        <v>4</v>
      </c>
      <c r="N342" t="s">
        <v>569</v>
      </c>
      <c r="O342">
        <v>0</v>
      </c>
      <c r="P342" t="s">
        <v>32</v>
      </c>
      <c r="Q342" t="s">
        <v>64</v>
      </c>
      <c r="R342">
        <v>1</v>
      </c>
      <c r="S342">
        <v>36.4</v>
      </c>
      <c r="T342">
        <v>14</v>
      </c>
    </row>
    <row r="343" spans="1:20" x14ac:dyDescent="0.3">
      <c r="A343" t="s">
        <v>591</v>
      </c>
      <c r="B343">
        <v>0</v>
      </c>
      <c r="C343">
        <v>500</v>
      </c>
      <c r="D343">
        <v>1.76</v>
      </c>
      <c r="E343">
        <v>222</v>
      </c>
      <c r="F343">
        <v>5</v>
      </c>
      <c r="G343" t="s">
        <v>587</v>
      </c>
      <c r="H343">
        <v>3.73</v>
      </c>
      <c r="I343">
        <v>4.5199999999999996</v>
      </c>
      <c r="J343">
        <v>15.18</v>
      </c>
      <c r="K343">
        <v>0.84</v>
      </c>
      <c r="L343">
        <v>1.61</v>
      </c>
      <c r="M343">
        <v>4</v>
      </c>
      <c r="N343" t="s">
        <v>569</v>
      </c>
      <c r="O343">
        <v>0</v>
      </c>
      <c r="P343" t="s">
        <v>32</v>
      </c>
      <c r="Q343" t="s">
        <v>64</v>
      </c>
      <c r="R343">
        <v>4.5</v>
      </c>
      <c r="S343">
        <v>28.2</v>
      </c>
    </row>
    <row r="344" spans="1:20" x14ac:dyDescent="0.3">
      <c r="A344" t="s">
        <v>591</v>
      </c>
      <c r="B344">
        <v>0</v>
      </c>
      <c r="C344">
        <v>500</v>
      </c>
      <c r="D344">
        <v>1.76</v>
      </c>
      <c r="E344">
        <v>278</v>
      </c>
      <c r="F344">
        <v>5</v>
      </c>
      <c r="G344" t="s">
        <v>587</v>
      </c>
      <c r="H344">
        <v>3.18</v>
      </c>
      <c r="I344">
        <v>-0.17</v>
      </c>
      <c r="J344">
        <v>15.54</v>
      </c>
      <c r="K344">
        <v>0.88</v>
      </c>
      <c r="L344">
        <v>1.32</v>
      </c>
      <c r="M344">
        <v>4</v>
      </c>
      <c r="N344" t="s">
        <v>569</v>
      </c>
      <c r="O344">
        <v>0</v>
      </c>
      <c r="P344" t="s">
        <v>32</v>
      </c>
      <c r="Q344" t="s">
        <v>64</v>
      </c>
      <c r="R344">
        <v>-2.7</v>
      </c>
      <c r="S344">
        <v>25.1</v>
      </c>
    </row>
    <row r="345" spans="1:20" x14ac:dyDescent="0.3">
      <c r="A345" t="s">
        <v>592</v>
      </c>
      <c r="B345">
        <v>500</v>
      </c>
      <c r="C345">
        <v>500</v>
      </c>
      <c r="D345">
        <v>1.07</v>
      </c>
      <c r="E345">
        <v>12158</v>
      </c>
      <c r="F345">
        <v>10</v>
      </c>
      <c r="G345" t="s">
        <v>580</v>
      </c>
      <c r="H345">
        <v>3.21</v>
      </c>
      <c r="I345">
        <v>3.78</v>
      </c>
      <c r="J345">
        <v>15.64</v>
      </c>
      <c r="K345">
        <v>0.9</v>
      </c>
      <c r="L345">
        <v>1.59</v>
      </c>
      <c r="M345">
        <v>6</v>
      </c>
      <c r="N345" t="s">
        <v>569</v>
      </c>
      <c r="O345">
        <v>3</v>
      </c>
      <c r="P345" t="s">
        <v>32</v>
      </c>
      <c r="Q345" t="s">
        <v>64</v>
      </c>
      <c r="R345">
        <v>8.6999999999999993</v>
      </c>
      <c r="S345">
        <v>30.1</v>
      </c>
      <c r="T345">
        <v>11.6</v>
      </c>
    </row>
    <row r="346" spans="1:20" x14ac:dyDescent="0.3">
      <c r="A346" t="s">
        <v>593</v>
      </c>
      <c r="B346">
        <v>500</v>
      </c>
      <c r="C346">
        <v>5000</v>
      </c>
      <c r="D346">
        <v>0.86</v>
      </c>
      <c r="E346">
        <v>89</v>
      </c>
      <c r="F346">
        <v>10</v>
      </c>
      <c r="G346" t="s">
        <v>573</v>
      </c>
      <c r="H346">
        <v>3.92</v>
      </c>
      <c r="I346">
        <v>6.29</v>
      </c>
      <c r="J346">
        <v>6.03</v>
      </c>
      <c r="K346">
        <v>0.56999999999999995</v>
      </c>
      <c r="L346">
        <v>1.72</v>
      </c>
      <c r="M346">
        <v>4</v>
      </c>
      <c r="N346" t="s">
        <v>569</v>
      </c>
      <c r="O346">
        <v>4</v>
      </c>
      <c r="P346" t="s">
        <v>29</v>
      </c>
      <c r="Q346" t="s">
        <v>30</v>
      </c>
      <c r="R346">
        <v>3.1</v>
      </c>
      <c r="S346">
        <v>15.2</v>
      </c>
      <c r="T346">
        <v>8.3000000000000007</v>
      </c>
    </row>
    <row r="347" spans="1:20" x14ac:dyDescent="0.3">
      <c r="A347" t="s">
        <v>594</v>
      </c>
      <c r="B347">
        <v>500</v>
      </c>
      <c r="C347">
        <v>5000</v>
      </c>
      <c r="D347">
        <v>2.0299999999999998</v>
      </c>
      <c r="E347">
        <v>417</v>
      </c>
      <c r="F347">
        <v>10</v>
      </c>
      <c r="G347" t="s">
        <v>595</v>
      </c>
      <c r="H347">
        <v>2.37</v>
      </c>
      <c r="I347">
        <v>1.41</v>
      </c>
      <c r="J347">
        <v>21.13</v>
      </c>
      <c r="K347">
        <v>1.06</v>
      </c>
      <c r="L347">
        <v>1.24</v>
      </c>
      <c r="M347">
        <v>6</v>
      </c>
      <c r="N347" t="s">
        <v>569</v>
      </c>
      <c r="O347">
        <v>0</v>
      </c>
      <c r="P347" t="s">
        <v>32</v>
      </c>
      <c r="Q347" t="s">
        <v>33</v>
      </c>
      <c r="R347">
        <v>-12.1</v>
      </c>
      <c r="S347">
        <v>30.9</v>
      </c>
      <c r="T347">
        <v>11.3</v>
      </c>
    </row>
    <row r="348" spans="1:20" x14ac:dyDescent="0.3">
      <c r="A348" t="s">
        <v>596</v>
      </c>
      <c r="B348">
        <v>500</v>
      </c>
      <c r="C348">
        <v>1000</v>
      </c>
      <c r="D348">
        <v>1.35</v>
      </c>
      <c r="E348">
        <v>4456</v>
      </c>
      <c r="F348">
        <v>10</v>
      </c>
      <c r="G348" t="s">
        <v>597</v>
      </c>
      <c r="H348">
        <v>2.88</v>
      </c>
      <c r="I348">
        <v>-0.26</v>
      </c>
      <c r="J348">
        <v>15.89</v>
      </c>
      <c r="K348">
        <v>0.92</v>
      </c>
      <c r="L348">
        <v>1.29</v>
      </c>
      <c r="M348">
        <v>6</v>
      </c>
      <c r="N348" t="s">
        <v>569</v>
      </c>
      <c r="O348">
        <v>0</v>
      </c>
      <c r="P348" t="s">
        <v>32</v>
      </c>
      <c r="Q348" t="s">
        <v>33</v>
      </c>
      <c r="R348">
        <v>-2.7</v>
      </c>
      <c r="S348">
        <v>24.2</v>
      </c>
      <c r="T348">
        <v>12.2</v>
      </c>
    </row>
    <row r="349" spans="1:20" x14ac:dyDescent="0.3">
      <c r="A349" t="s">
        <v>598</v>
      </c>
      <c r="B349">
        <v>500</v>
      </c>
      <c r="C349">
        <v>5000</v>
      </c>
      <c r="D349">
        <v>0.46</v>
      </c>
      <c r="E349">
        <v>4301</v>
      </c>
      <c r="F349">
        <v>10</v>
      </c>
      <c r="G349" t="s">
        <v>585</v>
      </c>
      <c r="H349">
        <v>1.1000000000000001</v>
      </c>
      <c r="I349">
        <v>1.45</v>
      </c>
      <c r="J349">
        <v>2.66</v>
      </c>
      <c r="K349">
        <v>0.53</v>
      </c>
      <c r="L349">
        <v>0.77</v>
      </c>
      <c r="M349">
        <v>3</v>
      </c>
      <c r="N349" t="s">
        <v>569</v>
      </c>
      <c r="O349">
        <v>5</v>
      </c>
      <c r="P349" t="s">
        <v>34</v>
      </c>
      <c r="Q349" t="s">
        <v>49</v>
      </c>
      <c r="R349">
        <v>5.7</v>
      </c>
      <c r="S349">
        <v>6.1</v>
      </c>
      <c r="T349">
        <v>8.3000000000000007</v>
      </c>
    </row>
    <row r="350" spans="1:20" x14ac:dyDescent="0.3">
      <c r="A350" t="s">
        <v>599</v>
      </c>
      <c r="B350">
        <v>500</v>
      </c>
      <c r="C350">
        <v>5000</v>
      </c>
      <c r="D350">
        <v>1.25</v>
      </c>
      <c r="E350">
        <v>5257</v>
      </c>
      <c r="F350">
        <v>10</v>
      </c>
      <c r="G350" t="s">
        <v>587</v>
      </c>
      <c r="H350">
        <v>2.42</v>
      </c>
      <c r="I350">
        <v>3.66</v>
      </c>
      <c r="J350">
        <v>13.28</v>
      </c>
      <c r="K350">
        <v>0.64</v>
      </c>
      <c r="L350">
        <v>1.42</v>
      </c>
      <c r="M350">
        <v>6</v>
      </c>
      <c r="N350" t="s">
        <v>569</v>
      </c>
      <c r="O350">
        <v>0</v>
      </c>
      <c r="P350" t="s">
        <v>32</v>
      </c>
      <c r="Q350" t="s">
        <v>33</v>
      </c>
      <c r="R350">
        <v>1.6</v>
      </c>
      <c r="S350">
        <v>24.1</v>
      </c>
      <c r="T350">
        <v>11.5</v>
      </c>
    </row>
    <row r="351" spans="1:20" x14ac:dyDescent="0.3">
      <c r="A351" t="s">
        <v>600</v>
      </c>
      <c r="B351">
        <v>500</v>
      </c>
      <c r="C351">
        <v>5000</v>
      </c>
      <c r="D351">
        <v>0.8</v>
      </c>
      <c r="E351">
        <v>1510</v>
      </c>
      <c r="F351">
        <v>10</v>
      </c>
      <c r="G351" t="s">
        <v>585</v>
      </c>
      <c r="H351">
        <v>1.56</v>
      </c>
      <c r="I351">
        <v>1.92</v>
      </c>
      <c r="J351">
        <v>2.35</v>
      </c>
      <c r="K351">
        <v>1.04</v>
      </c>
      <c r="L351">
        <v>0.94</v>
      </c>
      <c r="M351">
        <v>4</v>
      </c>
      <c r="N351" t="s">
        <v>569</v>
      </c>
      <c r="O351">
        <v>4</v>
      </c>
      <c r="P351" t="s">
        <v>34</v>
      </c>
      <c r="Q351" t="s">
        <v>50</v>
      </c>
      <c r="R351">
        <v>4.8</v>
      </c>
      <c r="S351">
        <v>6.9</v>
      </c>
      <c r="T351">
        <v>7.8</v>
      </c>
    </row>
    <row r="352" spans="1:20" x14ac:dyDescent="0.3">
      <c r="A352" t="s">
        <v>601</v>
      </c>
      <c r="B352">
        <v>500</v>
      </c>
      <c r="C352">
        <v>5000</v>
      </c>
      <c r="D352">
        <v>0.4</v>
      </c>
      <c r="E352">
        <v>7717</v>
      </c>
      <c r="F352">
        <v>10</v>
      </c>
      <c r="G352" t="s">
        <v>573</v>
      </c>
      <c r="H352">
        <v>3.47</v>
      </c>
      <c r="I352">
        <v>3.11</v>
      </c>
      <c r="J352">
        <v>0.8</v>
      </c>
      <c r="K352">
        <v>1.37</v>
      </c>
      <c r="L352">
        <v>1.58</v>
      </c>
      <c r="M352">
        <v>3</v>
      </c>
      <c r="N352" t="s">
        <v>569</v>
      </c>
      <c r="O352">
        <v>3</v>
      </c>
      <c r="P352" t="s">
        <v>34</v>
      </c>
      <c r="Q352" t="s">
        <v>52</v>
      </c>
      <c r="R352">
        <v>5.2</v>
      </c>
      <c r="S352">
        <v>5.6</v>
      </c>
      <c r="T352">
        <v>6.4</v>
      </c>
    </row>
    <row r="353" spans="1:20" x14ac:dyDescent="0.3">
      <c r="A353" t="s">
        <v>602</v>
      </c>
      <c r="B353">
        <v>500</v>
      </c>
      <c r="C353">
        <v>5000</v>
      </c>
      <c r="D353">
        <v>0.69</v>
      </c>
      <c r="E353">
        <v>7087</v>
      </c>
      <c r="F353">
        <v>10</v>
      </c>
      <c r="G353" t="s">
        <v>585</v>
      </c>
      <c r="H353">
        <v>2.0499999999999998</v>
      </c>
      <c r="I353">
        <v>2.34</v>
      </c>
      <c r="J353">
        <v>2.19</v>
      </c>
      <c r="K353">
        <v>0.87</v>
      </c>
      <c r="L353">
        <v>1.18</v>
      </c>
      <c r="M353">
        <v>4</v>
      </c>
      <c r="N353" t="s">
        <v>569</v>
      </c>
      <c r="O353">
        <v>4</v>
      </c>
      <c r="P353" t="s">
        <v>34</v>
      </c>
      <c r="Q353" t="s">
        <v>53</v>
      </c>
      <c r="R353">
        <v>4.5999999999999996</v>
      </c>
      <c r="S353">
        <v>7.2</v>
      </c>
      <c r="T353">
        <v>7.9</v>
      </c>
    </row>
    <row r="354" spans="1:20" x14ac:dyDescent="0.3">
      <c r="A354" t="s">
        <v>603</v>
      </c>
      <c r="B354">
        <v>500</v>
      </c>
      <c r="C354">
        <v>5000</v>
      </c>
      <c r="D354">
        <v>0.97</v>
      </c>
      <c r="E354">
        <v>8732</v>
      </c>
      <c r="F354">
        <v>10</v>
      </c>
      <c r="G354" t="s">
        <v>575</v>
      </c>
      <c r="H354">
        <v>3.93</v>
      </c>
      <c r="I354">
        <v>5.5</v>
      </c>
      <c r="J354">
        <v>17.149999999999999</v>
      </c>
      <c r="K354">
        <v>0.91</v>
      </c>
      <c r="L354">
        <v>1.89</v>
      </c>
      <c r="M354">
        <v>6</v>
      </c>
      <c r="N354" t="s">
        <v>569</v>
      </c>
      <c r="O354">
        <v>4</v>
      </c>
      <c r="P354" t="s">
        <v>32</v>
      </c>
      <c r="Q354" t="s">
        <v>54</v>
      </c>
      <c r="R354">
        <v>6.4</v>
      </c>
      <c r="S354">
        <v>37</v>
      </c>
      <c r="T354">
        <v>13.5</v>
      </c>
    </row>
    <row r="355" spans="1:20" x14ac:dyDescent="0.3">
      <c r="A355" t="s">
        <v>604</v>
      </c>
      <c r="B355">
        <v>2000</v>
      </c>
      <c r="C355">
        <v>5000</v>
      </c>
      <c r="D355">
        <v>0.31</v>
      </c>
      <c r="E355">
        <v>8907</v>
      </c>
      <c r="F355">
        <v>10</v>
      </c>
      <c r="G355" t="s">
        <v>590</v>
      </c>
      <c r="H355">
        <v>3.14</v>
      </c>
      <c r="I355">
        <v>2.4700000000000002</v>
      </c>
      <c r="J355">
        <v>0.57999999999999996</v>
      </c>
      <c r="K355">
        <v>1.2</v>
      </c>
      <c r="L355">
        <v>1.49</v>
      </c>
      <c r="M355">
        <v>2</v>
      </c>
      <c r="N355" t="s">
        <v>569</v>
      </c>
      <c r="O355">
        <v>2</v>
      </c>
      <c r="P355" t="s">
        <v>34</v>
      </c>
      <c r="Q355" t="s">
        <v>61</v>
      </c>
      <c r="R355">
        <v>5.2</v>
      </c>
      <c r="S355">
        <v>5.0999999999999996</v>
      </c>
      <c r="T355">
        <v>6.1</v>
      </c>
    </row>
    <row r="356" spans="1:20" x14ac:dyDescent="0.3">
      <c r="A356" t="s">
        <v>605</v>
      </c>
      <c r="B356">
        <v>500</v>
      </c>
      <c r="C356">
        <v>5000</v>
      </c>
      <c r="D356">
        <v>0.88</v>
      </c>
      <c r="E356">
        <v>609</v>
      </c>
      <c r="F356">
        <v>10</v>
      </c>
      <c r="G356" t="s">
        <v>580</v>
      </c>
      <c r="H356">
        <v>2.98</v>
      </c>
      <c r="I356">
        <v>2.1800000000000002</v>
      </c>
      <c r="J356">
        <v>8.1999999999999993</v>
      </c>
      <c r="K356">
        <v>0.48</v>
      </c>
      <c r="L356">
        <v>1.35</v>
      </c>
      <c r="M356">
        <v>6</v>
      </c>
      <c r="N356" t="s">
        <v>569</v>
      </c>
      <c r="O356">
        <v>3</v>
      </c>
      <c r="P356" t="s">
        <v>27</v>
      </c>
      <c r="Q356" t="s">
        <v>81</v>
      </c>
      <c r="R356">
        <v>5.9</v>
      </c>
      <c r="S356">
        <v>16.100000000000001</v>
      </c>
      <c r="T356">
        <v>9.6</v>
      </c>
    </row>
    <row r="357" spans="1:20" x14ac:dyDescent="0.3">
      <c r="A357" t="s">
        <v>606</v>
      </c>
      <c r="B357">
        <v>500</v>
      </c>
      <c r="C357">
        <v>5000</v>
      </c>
      <c r="D357">
        <v>0.18</v>
      </c>
      <c r="E357">
        <v>3324</v>
      </c>
      <c r="F357">
        <v>10</v>
      </c>
      <c r="G357" t="s">
        <v>589</v>
      </c>
      <c r="H357">
        <v>3.47</v>
      </c>
      <c r="I357">
        <v>-0.69</v>
      </c>
      <c r="J357">
        <v>16.8</v>
      </c>
      <c r="K357">
        <v>1</v>
      </c>
      <c r="L357">
        <v>1.31</v>
      </c>
      <c r="M357">
        <v>6</v>
      </c>
      <c r="N357" t="s">
        <v>569</v>
      </c>
      <c r="O357">
        <v>3</v>
      </c>
      <c r="P357" t="s">
        <v>23</v>
      </c>
      <c r="Q357" t="s">
        <v>56</v>
      </c>
      <c r="R357">
        <v>0.9</v>
      </c>
      <c r="S357">
        <v>26</v>
      </c>
      <c r="T357">
        <v>11.8</v>
      </c>
    </row>
    <row r="358" spans="1:20" x14ac:dyDescent="0.3">
      <c r="A358" t="s">
        <v>607</v>
      </c>
      <c r="B358">
        <v>2000</v>
      </c>
      <c r="C358">
        <v>5000</v>
      </c>
      <c r="D358">
        <v>0.1</v>
      </c>
      <c r="E358">
        <v>19888</v>
      </c>
      <c r="F358">
        <v>10</v>
      </c>
      <c r="G358" t="s">
        <v>590</v>
      </c>
      <c r="H358">
        <v>-0.25</v>
      </c>
      <c r="I358">
        <v>0.56000000000000005</v>
      </c>
      <c r="J358">
        <v>0.35</v>
      </c>
      <c r="K358">
        <v>0.43</v>
      </c>
      <c r="L358">
        <v>-0.05</v>
      </c>
      <c r="M358">
        <v>1</v>
      </c>
      <c r="N358" t="s">
        <v>569</v>
      </c>
      <c r="O358">
        <v>2</v>
      </c>
      <c r="P358" t="s">
        <v>34</v>
      </c>
      <c r="Q358" t="s">
        <v>57</v>
      </c>
      <c r="R358">
        <v>5.3</v>
      </c>
      <c r="S358">
        <v>3.9</v>
      </c>
      <c r="T358">
        <v>4.5999999999999996</v>
      </c>
    </row>
    <row r="359" spans="1:20" x14ac:dyDescent="0.3">
      <c r="A359" t="s">
        <v>608</v>
      </c>
      <c r="B359">
        <v>500</v>
      </c>
      <c r="C359">
        <v>5000</v>
      </c>
      <c r="D359">
        <v>1.42</v>
      </c>
      <c r="E359">
        <v>505</v>
      </c>
      <c r="F359">
        <v>10</v>
      </c>
      <c r="G359" t="s">
        <v>595</v>
      </c>
      <c r="H359">
        <v>2.3199999999999998</v>
      </c>
      <c r="I359">
        <v>-0.18</v>
      </c>
      <c r="J359">
        <v>19.98</v>
      </c>
      <c r="K359">
        <v>0.78</v>
      </c>
      <c r="L359">
        <v>1.1000000000000001</v>
      </c>
      <c r="M359">
        <v>6</v>
      </c>
      <c r="N359" t="s">
        <v>569</v>
      </c>
      <c r="O359">
        <v>0</v>
      </c>
      <c r="P359" t="s">
        <v>32</v>
      </c>
      <c r="Q359" t="s">
        <v>33</v>
      </c>
      <c r="R359">
        <v>16</v>
      </c>
      <c r="S359">
        <v>26.3</v>
      </c>
      <c r="T359">
        <v>7.4</v>
      </c>
    </row>
    <row r="360" spans="1:20" x14ac:dyDescent="0.3">
      <c r="A360" t="s">
        <v>609</v>
      </c>
      <c r="B360">
        <v>500</v>
      </c>
      <c r="C360">
        <v>500</v>
      </c>
      <c r="D360">
        <v>0.23</v>
      </c>
      <c r="E360">
        <v>19441</v>
      </c>
      <c r="F360">
        <v>10</v>
      </c>
      <c r="G360" t="s">
        <v>590</v>
      </c>
      <c r="H360">
        <v>4.0999999999999996</v>
      </c>
      <c r="I360">
        <v>2.73</v>
      </c>
      <c r="J360">
        <v>0.59</v>
      </c>
      <c r="K360">
        <v>1.19</v>
      </c>
      <c r="L360">
        <v>1.93</v>
      </c>
      <c r="M360">
        <v>3</v>
      </c>
      <c r="N360" t="s">
        <v>569</v>
      </c>
      <c r="O360">
        <v>3</v>
      </c>
      <c r="P360" t="s">
        <v>34</v>
      </c>
      <c r="Q360" t="s">
        <v>55</v>
      </c>
      <c r="R360">
        <v>5.5</v>
      </c>
      <c r="S360">
        <v>5.3</v>
      </c>
      <c r="T360">
        <v>6.2</v>
      </c>
    </row>
    <row r="361" spans="1:20" x14ac:dyDescent="0.3">
      <c r="A361" t="s">
        <v>610</v>
      </c>
      <c r="B361">
        <v>500</v>
      </c>
      <c r="C361">
        <v>5000</v>
      </c>
      <c r="D361">
        <v>0.35</v>
      </c>
      <c r="E361">
        <v>13289</v>
      </c>
      <c r="F361">
        <v>10</v>
      </c>
      <c r="G361" t="s">
        <v>573</v>
      </c>
      <c r="H361">
        <v>1.57</v>
      </c>
      <c r="I361">
        <v>5</v>
      </c>
      <c r="J361">
        <v>1.7</v>
      </c>
      <c r="K361">
        <v>2.44</v>
      </c>
      <c r="L361">
        <v>1.02</v>
      </c>
      <c r="M361">
        <v>2</v>
      </c>
      <c r="N361" t="s">
        <v>569</v>
      </c>
      <c r="O361">
        <v>3</v>
      </c>
      <c r="P361" t="s">
        <v>34</v>
      </c>
      <c r="Q361" t="s">
        <v>62</v>
      </c>
      <c r="R361">
        <v>4.5999999999999996</v>
      </c>
      <c r="S361">
        <v>6.4</v>
      </c>
      <c r="T361">
        <v>6.8</v>
      </c>
    </row>
    <row r="362" spans="1:20" x14ac:dyDescent="0.3">
      <c r="A362" t="s">
        <v>611</v>
      </c>
      <c r="B362">
        <v>500</v>
      </c>
      <c r="C362">
        <v>5000</v>
      </c>
      <c r="D362">
        <v>0.7</v>
      </c>
      <c r="E362">
        <v>15395</v>
      </c>
      <c r="F362">
        <v>10</v>
      </c>
      <c r="G362" t="s">
        <v>587</v>
      </c>
      <c r="H362">
        <v>4.07</v>
      </c>
      <c r="I362">
        <v>6.48</v>
      </c>
      <c r="J362">
        <v>16.809999999999999</v>
      </c>
      <c r="K362">
        <v>0.75</v>
      </c>
      <c r="L362">
        <v>1.88</v>
      </c>
      <c r="M362">
        <v>6</v>
      </c>
      <c r="N362" t="s">
        <v>569</v>
      </c>
      <c r="O362">
        <v>4</v>
      </c>
      <c r="P362" t="s">
        <v>32</v>
      </c>
      <c r="Q362" t="s">
        <v>63</v>
      </c>
      <c r="R362">
        <v>8.1999999999999993</v>
      </c>
      <c r="S362">
        <v>38.299999999999997</v>
      </c>
      <c r="T362">
        <v>15.3</v>
      </c>
    </row>
    <row r="363" spans="1:20" x14ac:dyDescent="0.3">
      <c r="A363" t="s">
        <v>612</v>
      </c>
      <c r="B363">
        <v>0</v>
      </c>
      <c r="C363">
        <v>500</v>
      </c>
      <c r="D363">
        <v>1.76</v>
      </c>
      <c r="E363">
        <v>28</v>
      </c>
      <c r="F363">
        <v>9</v>
      </c>
      <c r="G363" t="s">
        <v>587</v>
      </c>
      <c r="H363">
        <v>4.0999999999999996</v>
      </c>
      <c r="I363">
        <v>9.9600000000000009</v>
      </c>
      <c r="J363">
        <v>16.07</v>
      </c>
      <c r="K363">
        <v>0.84</v>
      </c>
      <c r="L363">
        <v>1.85</v>
      </c>
      <c r="M363">
        <v>4</v>
      </c>
      <c r="N363" t="s">
        <v>569</v>
      </c>
      <c r="O363">
        <v>0</v>
      </c>
      <c r="P363" t="s">
        <v>32</v>
      </c>
      <c r="Q363" t="s">
        <v>64</v>
      </c>
      <c r="R363">
        <v>1.9</v>
      </c>
      <c r="S363">
        <v>41.1</v>
      </c>
      <c r="T363">
        <v>21.8</v>
      </c>
    </row>
    <row r="364" spans="1:20" x14ac:dyDescent="0.3">
      <c r="A364" t="s">
        <v>613</v>
      </c>
      <c r="B364">
        <v>500</v>
      </c>
      <c r="C364">
        <v>5000</v>
      </c>
      <c r="D364">
        <v>0.87</v>
      </c>
      <c r="E364">
        <v>2861</v>
      </c>
      <c r="F364">
        <v>10</v>
      </c>
      <c r="G364" t="s">
        <v>577</v>
      </c>
      <c r="H364">
        <v>2.36</v>
      </c>
      <c r="I364">
        <v>8.3800000000000008</v>
      </c>
      <c r="J364">
        <v>19.71</v>
      </c>
      <c r="K364">
        <v>0.77</v>
      </c>
      <c r="L364">
        <v>1.51</v>
      </c>
      <c r="M364">
        <v>6</v>
      </c>
      <c r="N364" t="s">
        <v>569</v>
      </c>
      <c r="O364">
        <v>0</v>
      </c>
      <c r="P364" t="s">
        <v>32</v>
      </c>
      <c r="Q364" t="s">
        <v>33</v>
      </c>
      <c r="R364">
        <v>-8.6999999999999993</v>
      </c>
      <c r="S364">
        <v>37.1</v>
      </c>
      <c r="T364">
        <v>21</v>
      </c>
    </row>
    <row r="365" spans="1:20" x14ac:dyDescent="0.3">
      <c r="A365" t="s">
        <v>614</v>
      </c>
      <c r="B365">
        <v>1000</v>
      </c>
      <c r="C365">
        <v>5000</v>
      </c>
      <c r="D365">
        <v>0.6</v>
      </c>
      <c r="E365">
        <v>48</v>
      </c>
      <c r="F365">
        <v>4</v>
      </c>
      <c r="G365" t="s">
        <v>615</v>
      </c>
      <c r="H365">
        <v>2.42</v>
      </c>
      <c r="I365">
        <v>-0.22</v>
      </c>
      <c r="J365">
        <v>7.82</v>
      </c>
      <c r="K365">
        <v>0.53</v>
      </c>
      <c r="L365">
        <v>1.22</v>
      </c>
      <c r="M365">
        <v>6</v>
      </c>
      <c r="N365" t="s">
        <v>616</v>
      </c>
      <c r="O365">
        <v>3</v>
      </c>
      <c r="P365" t="s">
        <v>27</v>
      </c>
      <c r="Q365" t="s">
        <v>31</v>
      </c>
      <c r="R365">
        <v>2.9</v>
      </c>
      <c r="S365">
        <v>13.9</v>
      </c>
    </row>
    <row r="366" spans="1:20" x14ac:dyDescent="0.3">
      <c r="A366" t="s">
        <v>617</v>
      </c>
      <c r="B366">
        <v>1000</v>
      </c>
      <c r="C366">
        <v>5000</v>
      </c>
      <c r="D366">
        <v>0.65</v>
      </c>
      <c r="E366">
        <v>60</v>
      </c>
      <c r="F366">
        <v>4</v>
      </c>
      <c r="G366" t="s">
        <v>615</v>
      </c>
      <c r="H366">
        <v>2.74</v>
      </c>
      <c r="I366">
        <v>-2.52</v>
      </c>
      <c r="J366">
        <v>14.68</v>
      </c>
      <c r="K366">
        <v>0.85</v>
      </c>
      <c r="L366">
        <v>1.19</v>
      </c>
      <c r="M366">
        <v>6</v>
      </c>
      <c r="N366" t="s">
        <v>616</v>
      </c>
      <c r="O366">
        <v>2</v>
      </c>
      <c r="P366" t="s">
        <v>32</v>
      </c>
      <c r="Q366" t="s">
        <v>44</v>
      </c>
      <c r="R366">
        <v>1.4</v>
      </c>
      <c r="S366">
        <v>21.5</v>
      </c>
    </row>
    <row r="367" spans="1:20" x14ac:dyDescent="0.3">
      <c r="A367" t="s">
        <v>618</v>
      </c>
      <c r="B367">
        <v>1000</v>
      </c>
      <c r="C367">
        <v>5000</v>
      </c>
      <c r="D367">
        <v>0.65</v>
      </c>
      <c r="E367">
        <v>56</v>
      </c>
      <c r="F367">
        <v>9</v>
      </c>
      <c r="G367" t="s">
        <v>615</v>
      </c>
      <c r="H367">
        <v>2.79</v>
      </c>
      <c r="I367">
        <v>-1.5</v>
      </c>
      <c r="J367">
        <v>11.64</v>
      </c>
      <c r="K367">
        <v>0.81</v>
      </c>
      <c r="L367">
        <v>1.1599999999999999</v>
      </c>
      <c r="M367">
        <v>6</v>
      </c>
      <c r="N367" t="s">
        <v>616</v>
      </c>
      <c r="O367">
        <v>3</v>
      </c>
      <c r="P367" t="s">
        <v>27</v>
      </c>
      <c r="Q367" t="s">
        <v>42</v>
      </c>
      <c r="R367">
        <v>0.7</v>
      </c>
      <c r="S367">
        <v>17.7</v>
      </c>
      <c r="T367">
        <v>8.9</v>
      </c>
    </row>
    <row r="368" spans="1:20" x14ac:dyDescent="0.3">
      <c r="A368" t="s">
        <v>619</v>
      </c>
      <c r="B368">
        <v>500</v>
      </c>
      <c r="C368">
        <v>500</v>
      </c>
      <c r="D368">
        <v>0.6</v>
      </c>
      <c r="E368">
        <v>36</v>
      </c>
      <c r="F368">
        <v>4</v>
      </c>
      <c r="G368" t="s">
        <v>615</v>
      </c>
      <c r="H368">
        <v>2.37</v>
      </c>
      <c r="I368">
        <v>-3.01</v>
      </c>
      <c r="J368">
        <v>14.39</v>
      </c>
      <c r="K368">
        <v>0.83</v>
      </c>
      <c r="L368">
        <v>1.1399999999999999</v>
      </c>
      <c r="M368">
        <v>6</v>
      </c>
      <c r="N368" t="s">
        <v>616</v>
      </c>
      <c r="O368">
        <v>3</v>
      </c>
      <c r="P368" t="s">
        <v>32</v>
      </c>
      <c r="Q368" t="s">
        <v>64</v>
      </c>
      <c r="R368">
        <v>0.8</v>
      </c>
      <c r="S368">
        <v>20.100000000000001</v>
      </c>
    </row>
    <row r="369" spans="1:20" x14ac:dyDescent="0.3">
      <c r="A369" t="s">
        <v>620</v>
      </c>
      <c r="B369">
        <v>100</v>
      </c>
      <c r="C369">
        <v>100</v>
      </c>
      <c r="D369">
        <v>0.67</v>
      </c>
      <c r="E369">
        <v>2981</v>
      </c>
      <c r="F369">
        <v>10</v>
      </c>
      <c r="G369" t="s">
        <v>621</v>
      </c>
      <c r="H369">
        <v>4.1100000000000003</v>
      </c>
      <c r="I369">
        <v>2.31</v>
      </c>
      <c r="J369">
        <v>11.63</v>
      </c>
      <c r="K369">
        <v>0.8</v>
      </c>
      <c r="L369">
        <v>1.46</v>
      </c>
      <c r="M369">
        <v>5</v>
      </c>
      <c r="N369" t="s">
        <v>622</v>
      </c>
      <c r="O369">
        <v>4</v>
      </c>
      <c r="P369" t="s">
        <v>27</v>
      </c>
      <c r="Q369" t="s">
        <v>42</v>
      </c>
      <c r="R369">
        <v>1.2</v>
      </c>
      <c r="S369">
        <v>21.7</v>
      </c>
      <c r="T369">
        <v>9.6999999999999993</v>
      </c>
    </row>
    <row r="370" spans="1:20" x14ac:dyDescent="0.3">
      <c r="A370" t="s">
        <v>623</v>
      </c>
      <c r="B370">
        <v>500</v>
      </c>
      <c r="C370">
        <v>100</v>
      </c>
      <c r="D370">
        <v>0.28000000000000003</v>
      </c>
      <c r="E370">
        <v>108</v>
      </c>
      <c r="F370">
        <v>7</v>
      </c>
      <c r="G370" t="s">
        <v>624</v>
      </c>
      <c r="H370">
        <v>0.48</v>
      </c>
      <c r="I370">
        <v>0.75</v>
      </c>
      <c r="J370">
        <v>0.7</v>
      </c>
      <c r="K370">
        <v>0.39</v>
      </c>
      <c r="L370">
        <v>0.33</v>
      </c>
      <c r="M370">
        <v>2</v>
      </c>
      <c r="N370" t="s">
        <v>622</v>
      </c>
      <c r="O370">
        <v>1</v>
      </c>
      <c r="P370" t="s">
        <v>27</v>
      </c>
      <c r="Q370" t="s">
        <v>28</v>
      </c>
      <c r="R370">
        <v>5.3</v>
      </c>
      <c r="S370">
        <v>3.3</v>
      </c>
      <c r="T370">
        <v>2.8</v>
      </c>
    </row>
    <row r="371" spans="1:20" x14ac:dyDescent="0.3">
      <c r="A371" t="s">
        <v>625</v>
      </c>
      <c r="B371">
        <v>500</v>
      </c>
      <c r="C371">
        <v>100</v>
      </c>
      <c r="D371">
        <v>0.62</v>
      </c>
      <c r="E371">
        <v>1532</v>
      </c>
      <c r="F371">
        <v>10</v>
      </c>
      <c r="G371" t="s">
        <v>621</v>
      </c>
      <c r="H371">
        <v>3.24</v>
      </c>
      <c r="I371">
        <v>2.13</v>
      </c>
      <c r="J371">
        <v>7.66</v>
      </c>
      <c r="K371">
        <v>0.51</v>
      </c>
      <c r="L371">
        <v>1.51</v>
      </c>
      <c r="M371">
        <v>4</v>
      </c>
      <c r="N371" t="s">
        <v>622</v>
      </c>
      <c r="O371">
        <v>5</v>
      </c>
      <c r="P371" t="s">
        <v>27</v>
      </c>
      <c r="Q371" t="s">
        <v>31</v>
      </c>
      <c r="R371">
        <v>3.9</v>
      </c>
      <c r="S371">
        <v>11.9</v>
      </c>
      <c r="T371">
        <v>7.2</v>
      </c>
    </row>
    <row r="372" spans="1:20" x14ac:dyDescent="0.3">
      <c r="A372" t="s">
        <v>626</v>
      </c>
      <c r="B372">
        <v>250</v>
      </c>
      <c r="C372">
        <v>5000</v>
      </c>
      <c r="D372">
        <v>0.19</v>
      </c>
      <c r="E372">
        <v>450</v>
      </c>
      <c r="F372">
        <v>10</v>
      </c>
      <c r="G372" t="s">
        <v>627</v>
      </c>
      <c r="H372">
        <v>0.73</v>
      </c>
      <c r="I372">
        <v>3.49</v>
      </c>
      <c r="J372">
        <v>1.35</v>
      </c>
      <c r="K372">
        <v>2.13</v>
      </c>
      <c r="L372">
        <v>0.48</v>
      </c>
      <c r="M372">
        <v>2</v>
      </c>
      <c r="N372" t="s">
        <v>622</v>
      </c>
      <c r="O372">
        <v>2</v>
      </c>
      <c r="P372" t="s">
        <v>34</v>
      </c>
      <c r="Q372" t="s">
        <v>35</v>
      </c>
      <c r="R372">
        <v>3.5</v>
      </c>
      <c r="S372">
        <v>5</v>
      </c>
      <c r="T372">
        <v>6.1</v>
      </c>
    </row>
    <row r="373" spans="1:20" x14ac:dyDescent="0.3">
      <c r="A373" t="s">
        <v>628</v>
      </c>
      <c r="B373">
        <v>100</v>
      </c>
      <c r="C373">
        <v>100</v>
      </c>
      <c r="D373">
        <v>1.46</v>
      </c>
      <c r="E373">
        <v>1106</v>
      </c>
      <c r="F373">
        <v>10</v>
      </c>
      <c r="G373" t="s">
        <v>629</v>
      </c>
      <c r="H373">
        <v>3.32</v>
      </c>
      <c r="I373">
        <v>0.56000000000000005</v>
      </c>
      <c r="J373">
        <v>14.69</v>
      </c>
      <c r="K373">
        <v>0.8</v>
      </c>
      <c r="L373">
        <v>1.28</v>
      </c>
      <c r="M373">
        <v>6</v>
      </c>
      <c r="N373" t="s">
        <v>622</v>
      </c>
      <c r="O373">
        <v>2</v>
      </c>
      <c r="P373" t="s">
        <v>32</v>
      </c>
      <c r="Q373" t="s">
        <v>33</v>
      </c>
      <c r="R373">
        <v>7.3</v>
      </c>
      <c r="S373">
        <v>22.5</v>
      </c>
      <c r="T373">
        <v>8.8000000000000007</v>
      </c>
    </row>
    <row r="374" spans="1:20" x14ac:dyDescent="0.3">
      <c r="A374" t="s">
        <v>630</v>
      </c>
      <c r="B374">
        <v>250</v>
      </c>
      <c r="C374">
        <v>5000</v>
      </c>
      <c r="D374">
        <v>0.28000000000000003</v>
      </c>
      <c r="E374">
        <v>996</v>
      </c>
      <c r="F374">
        <v>10</v>
      </c>
      <c r="G374" t="s">
        <v>627</v>
      </c>
      <c r="H374">
        <v>2.14</v>
      </c>
      <c r="I374">
        <v>1.84</v>
      </c>
      <c r="J374">
        <v>1.74</v>
      </c>
      <c r="K374">
        <v>0.57999999999999996</v>
      </c>
      <c r="L374">
        <v>1.1499999999999999</v>
      </c>
      <c r="M374">
        <v>2</v>
      </c>
      <c r="N374" t="s">
        <v>622</v>
      </c>
      <c r="O374">
        <v>4</v>
      </c>
      <c r="P374" t="s">
        <v>34</v>
      </c>
      <c r="Q374" t="s">
        <v>37</v>
      </c>
      <c r="R374">
        <v>4.5</v>
      </c>
      <c r="S374">
        <v>6.8</v>
      </c>
      <c r="T374">
        <v>7.3</v>
      </c>
    </row>
    <row r="375" spans="1:20" x14ac:dyDescent="0.3">
      <c r="A375" t="s">
        <v>631</v>
      </c>
      <c r="B375">
        <v>100</v>
      </c>
      <c r="C375">
        <v>5000</v>
      </c>
      <c r="D375">
        <v>1.2</v>
      </c>
      <c r="E375">
        <v>30</v>
      </c>
      <c r="F375">
        <v>10</v>
      </c>
      <c r="G375" t="s">
        <v>627</v>
      </c>
      <c r="H375">
        <v>3.43</v>
      </c>
      <c r="I375">
        <v>2.48</v>
      </c>
      <c r="J375">
        <v>5.16</v>
      </c>
      <c r="K375">
        <v>0.62</v>
      </c>
      <c r="L375">
        <v>1.33</v>
      </c>
      <c r="M375">
        <v>3</v>
      </c>
      <c r="N375" t="s">
        <v>622</v>
      </c>
      <c r="O375">
        <v>2</v>
      </c>
      <c r="P375" t="s">
        <v>27</v>
      </c>
      <c r="Q375" t="s">
        <v>59</v>
      </c>
      <c r="R375">
        <v>4.0999999999999996</v>
      </c>
      <c r="S375">
        <v>11.6</v>
      </c>
      <c r="T375">
        <v>6.2</v>
      </c>
    </row>
    <row r="376" spans="1:20" x14ac:dyDescent="0.3">
      <c r="A376" t="s">
        <v>632</v>
      </c>
      <c r="B376">
        <v>100</v>
      </c>
      <c r="C376">
        <v>500</v>
      </c>
      <c r="D376">
        <v>1.66</v>
      </c>
      <c r="E376">
        <v>1623</v>
      </c>
      <c r="F376">
        <v>10</v>
      </c>
      <c r="G376" t="s">
        <v>633</v>
      </c>
      <c r="H376">
        <v>3.5</v>
      </c>
      <c r="I376">
        <v>0.65</v>
      </c>
      <c r="J376">
        <v>15.5</v>
      </c>
      <c r="K376">
        <v>0.9</v>
      </c>
      <c r="L376">
        <v>1.41</v>
      </c>
      <c r="M376">
        <v>6</v>
      </c>
      <c r="N376" t="s">
        <v>622</v>
      </c>
      <c r="O376">
        <v>2</v>
      </c>
      <c r="P376" t="s">
        <v>32</v>
      </c>
      <c r="Q376" t="s">
        <v>64</v>
      </c>
      <c r="R376">
        <v>2.2000000000000002</v>
      </c>
      <c r="S376">
        <v>26.1</v>
      </c>
      <c r="T376">
        <v>8.9</v>
      </c>
    </row>
    <row r="377" spans="1:20" x14ac:dyDescent="0.3">
      <c r="A377" t="s">
        <v>634</v>
      </c>
      <c r="B377">
        <v>500</v>
      </c>
      <c r="C377">
        <v>5000</v>
      </c>
      <c r="D377">
        <v>1.02</v>
      </c>
      <c r="E377">
        <v>382</v>
      </c>
      <c r="F377">
        <v>10</v>
      </c>
      <c r="G377" t="s">
        <v>629</v>
      </c>
      <c r="H377">
        <v>4.03</v>
      </c>
      <c r="I377">
        <v>2.79</v>
      </c>
      <c r="J377">
        <v>13.93</v>
      </c>
      <c r="K377">
        <v>0.8</v>
      </c>
      <c r="L377">
        <v>1.55</v>
      </c>
      <c r="M377">
        <v>6</v>
      </c>
      <c r="N377" t="s">
        <v>622</v>
      </c>
      <c r="O377">
        <v>0</v>
      </c>
      <c r="P377" t="s">
        <v>32</v>
      </c>
      <c r="Q377" t="s">
        <v>39</v>
      </c>
      <c r="R377">
        <v>3.2</v>
      </c>
      <c r="S377">
        <v>26.4</v>
      </c>
      <c r="T377">
        <v>11.7</v>
      </c>
    </row>
    <row r="378" spans="1:20" x14ac:dyDescent="0.3">
      <c r="A378" t="s">
        <v>635</v>
      </c>
      <c r="B378">
        <v>0</v>
      </c>
      <c r="C378">
        <v>5000</v>
      </c>
      <c r="D378">
        <v>0.75</v>
      </c>
      <c r="E378">
        <v>297</v>
      </c>
      <c r="F378">
        <v>5</v>
      </c>
      <c r="G378" t="s">
        <v>624</v>
      </c>
      <c r="H378">
        <v>4.45</v>
      </c>
      <c r="I378">
        <v>8.84</v>
      </c>
      <c r="J378">
        <v>19.13</v>
      </c>
      <c r="K378">
        <v>0.86</v>
      </c>
      <c r="L378">
        <v>1.97</v>
      </c>
      <c r="M378">
        <v>2</v>
      </c>
      <c r="N378" t="s">
        <v>622</v>
      </c>
      <c r="O378">
        <v>0</v>
      </c>
      <c r="P378" t="s">
        <v>32</v>
      </c>
      <c r="Q378" t="s">
        <v>63</v>
      </c>
      <c r="R378">
        <v>9.4</v>
      </c>
      <c r="S378">
        <v>43.7</v>
      </c>
    </row>
    <row r="379" spans="1:20" x14ac:dyDescent="0.3">
      <c r="A379" t="s">
        <v>636</v>
      </c>
      <c r="B379">
        <v>0</v>
      </c>
      <c r="C379">
        <v>5000</v>
      </c>
      <c r="D379">
        <v>0.75</v>
      </c>
      <c r="E379">
        <v>208</v>
      </c>
      <c r="F379">
        <v>5</v>
      </c>
      <c r="G379" t="s">
        <v>624</v>
      </c>
      <c r="H379">
        <v>4.29</v>
      </c>
      <c r="I379">
        <v>7.54</v>
      </c>
      <c r="J379">
        <v>18.88</v>
      </c>
      <c r="K379">
        <v>0.85</v>
      </c>
      <c r="L379">
        <v>1.9</v>
      </c>
      <c r="M379">
        <v>4</v>
      </c>
      <c r="N379" t="s">
        <v>622</v>
      </c>
      <c r="O379">
        <v>0</v>
      </c>
      <c r="P379" t="s">
        <v>32</v>
      </c>
      <c r="Q379" t="s">
        <v>63</v>
      </c>
      <c r="R379">
        <v>6.7</v>
      </c>
      <c r="S379">
        <v>41.4</v>
      </c>
    </row>
    <row r="380" spans="1:20" x14ac:dyDescent="0.3">
      <c r="A380" t="s">
        <v>637</v>
      </c>
      <c r="B380">
        <v>0</v>
      </c>
      <c r="C380">
        <v>5000</v>
      </c>
      <c r="D380">
        <v>0.79</v>
      </c>
      <c r="E380">
        <v>79</v>
      </c>
      <c r="F380">
        <v>5</v>
      </c>
      <c r="G380" t="s">
        <v>624</v>
      </c>
      <c r="H380">
        <v>4.5599999999999996</v>
      </c>
      <c r="I380">
        <v>8.3000000000000007</v>
      </c>
      <c r="J380">
        <v>19.149999999999999</v>
      </c>
      <c r="K380">
        <v>0.86</v>
      </c>
      <c r="L380">
        <v>1.93</v>
      </c>
      <c r="M380">
        <v>6</v>
      </c>
      <c r="N380" t="s">
        <v>622</v>
      </c>
      <c r="O380">
        <v>0</v>
      </c>
      <c r="P380" t="s">
        <v>32</v>
      </c>
      <c r="Q380" t="s">
        <v>63</v>
      </c>
      <c r="R380">
        <v>7.6</v>
      </c>
      <c r="S380">
        <v>42.3</v>
      </c>
    </row>
    <row r="381" spans="1:20" x14ac:dyDescent="0.3">
      <c r="A381" t="s">
        <v>638</v>
      </c>
      <c r="B381">
        <v>0</v>
      </c>
      <c r="C381">
        <v>5000</v>
      </c>
      <c r="D381">
        <v>0.77</v>
      </c>
      <c r="E381">
        <v>41</v>
      </c>
      <c r="F381">
        <v>5</v>
      </c>
      <c r="G381" t="s">
        <v>624</v>
      </c>
      <c r="H381">
        <v>4.2699999999999996</v>
      </c>
      <c r="I381">
        <v>8.43</v>
      </c>
      <c r="J381">
        <v>18.61</v>
      </c>
      <c r="K381">
        <v>0.84</v>
      </c>
      <c r="L381">
        <v>1.95</v>
      </c>
      <c r="M381">
        <v>6</v>
      </c>
      <c r="N381" t="s">
        <v>622</v>
      </c>
      <c r="O381">
        <v>0</v>
      </c>
      <c r="P381" t="s">
        <v>32</v>
      </c>
      <c r="Q381" t="s">
        <v>63</v>
      </c>
      <c r="R381">
        <v>7.8</v>
      </c>
      <c r="S381">
        <v>41.9</v>
      </c>
    </row>
    <row r="382" spans="1:20" x14ac:dyDescent="0.3">
      <c r="A382" t="s">
        <v>639</v>
      </c>
      <c r="B382">
        <v>0</v>
      </c>
      <c r="C382">
        <v>5000</v>
      </c>
      <c r="D382">
        <v>0.97</v>
      </c>
      <c r="E382">
        <v>141</v>
      </c>
      <c r="F382">
        <v>4</v>
      </c>
      <c r="G382" t="s">
        <v>624</v>
      </c>
      <c r="H382">
        <v>3.95</v>
      </c>
      <c r="I382">
        <v>6.51</v>
      </c>
      <c r="J382">
        <v>17.13</v>
      </c>
      <c r="K382">
        <v>0.76</v>
      </c>
      <c r="L382">
        <v>1.86</v>
      </c>
      <c r="M382">
        <v>6</v>
      </c>
      <c r="N382" t="s">
        <v>622</v>
      </c>
      <c r="O382">
        <v>0</v>
      </c>
      <c r="P382" t="s">
        <v>32</v>
      </c>
      <c r="Q382" t="s">
        <v>63</v>
      </c>
      <c r="R382">
        <v>8</v>
      </c>
      <c r="S382">
        <v>36.9</v>
      </c>
    </row>
    <row r="383" spans="1:20" x14ac:dyDescent="0.3">
      <c r="A383" t="s">
        <v>640</v>
      </c>
      <c r="B383">
        <v>500</v>
      </c>
      <c r="C383">
        <v>100</v>
      </c>
      <c r="D383">
        <v>0.54</v>
      </c>
      <c r="E383">
        <v>415</v>
      </c>
      <c r="F383">
        <v>10</v>
      </c>
      <c r="G383" t="s">
        <v>633</v>
      </c>
      <c r="H383">
        <v>3.24</v>
      </c>
      <c r="I383">
        <v>2.5</v>
      </c>
      <c r="J383">
        <v>6.14</v>
      </c>
      <c r="K383">
        <v>0.94</v>
      </c>
      <c r="L383">
        <v>1.5</v>
      </c>
      <c r="M383">
        <v>3</v>
      </c>
      <c r="N383" t="s">
        <v>622</v>
      </c>
      <c r="O383">
        <v>4</v>
      </c>
      <c r="P383" t="s">
        <v>27</v>
      </c>
      <c r="Q383" t="s">
        <v>43</v>
      </c>
      <c r="R383">
        <v>3.9</v>
      </c>
      <c r="S383">
        <v>16.8</v>
      </c>
      <c r="T383">
        <v>9.9</v>
      </c>
    </row>
    <row r="384" spans="1:20" x14ac:dyDescent="0.3">
      <c r="A384" t="s">
        <v>641</v>
      </c>
      <c r="B384">
        <v>100</v>
      </c>
      <c r="C384">
        <v>100</v>
      </c>
      <c r="D384">
        <v>0.51</v>
      </c>
      <c r="E384">
        <v>601</v>
      </c>
      <c r="F384">
        <v>10</v>
      </c>
      <c r="G384" t="s">
        <v>624</v>
      </c>
      <c r="H384">
        <v>2.35</v>
      </c>
      <c r="I384">
        <v>2.92</v>
      </c>
      <c r="J384">
        <v>22.98</v>
      </c>
      <c r="K384">
        <v>0.89</v>
      </c>
      <c r="L384">
        <v>1.06</v>
      </c>
      <c r="M384">
        <v>6</v>
      </c>
      <c r="N384" t="s">
        <v>622</v>
      </c>
      <c r="O384">
        <v>4</v>
      </c>
      <c r="P384" t="s">
        <v>32</v>
      </c>
      <c r="Q384" t="s">
        <v>33</v>
      </c>
      <c r="R384">
        <v>11.4</v>
      </c>
      <c r="S384">
        <v>25.9</v>
      </c>
      <c r="T384">
        <v>12.6</v>
      </c>
    </row>
    <row r="385" spans="1:20" x14ac:dyDescent="0.3">
      <c r="A385" t="s">
        <v>642</v>
      </c>
      <c r="B385">
        <v>100</v>
      </c>
      <c r="C385">
        <v>300</v>
      </c>
      <c r="D385">
        <v>1.2</v>
      </c>
      <c r="E385">
        <v>771</v>
      </c>
      <c r="F385">
        <v>10</v>
      </c>
      <c r="G385" t="s">
        <v>643</v>
      </c>
      <c r="H385">
        <v>2.4700000000000002</v>
      </c>
      <c r="I385">
        <v>-1.91</v>
      </c>
      <c r="J385">
        <v>16.55</v>
      </c>
      <c r="K385">
        <v>0.94</v>
      </c>
      <c r="L385">
        <v>1.22</v>
      </c>
      <c r="M385">
        <v>6</v>
      </c>
      <c r="N385" t="s">
        <v>622</v>
      </c>
      <c r="O385">
        <v>4</v>
      </c>
      <c r="P385" t="s">
        <v>32</v>
      </c>
      <c r="Q385" t="s">
        <v>46</v>
      </c>
      <c r="R385">
        <v>-1.8</v>
      </c>
      <c r="S385">
        <v>24.5</v>
      </c>
      <c r="T385">
        <v>13.1</v>
      </c>
    </row>
    <row r="386" spans="1:20" x14ac:dyDescent="0.3">
      <c r="A386" t="s">
        <v>644</v>
      </c>
      <c r="B386">
        <v>100</v>
      </c>
      <c r="C386">
        <v>100</v>
      </c>
      <c r="D386">
        <v>1.42</v>
      </c>
      <c r="E386">
        <v>117</v>
      </c>
      <c r="F386">
        <v>10</v>
      </c>
      <c r="G386" t="s">
        <v>624</v>
      </c>
      <c r="H386">
        <v>1.59</v>
      </c>
      <c r="I386" t="s">
        <v>36</v>
      </c>
      <c r="J386">
        <v>16.95</v>
      </c>
      <c r="K386" t="s">
        <v>36</v>
      </c>
      <c r="L386">
        <v>0.88</v>
      </c>
      <c r="M386">
        <v>6</v>
      </c>
      <c r="N386" t="s">
        <v>622</v>
      </c>
      <c r="O386">
        <v>0</v>
      </c>
      <c r="P386" t="s">
        <v>23</v>
      </c>
      <c r="Q386" t="s">
        <v>48</v>
      </c>
      <c r="R386">
        <v>2.4</v>
      </c>
      <c r="S386">
        <v>20.5</v>
      </c>
      <c r="T386">
        <v>7.7</v>
      </c>
    </row>
    <row r="387" spans="1:20" x14ac:dyDescent="0.3">
      <c r="A387" t="s">
        <v>645</v>
      </c>
      <c r="B387">
        <v>100</v>
      </c>
      <c r="C387">
        <v>100</v>
      </c>
      <c r="D387">
        <v>1.87</v>
      </c>
      <c r="E387">
        <v>594</v>
      </c>
      <c r="F387">
        <v>10</v>
      </c>
      <c r="G387" t="s">
        <v>646</v>
      </c>
      <c r="H387">
        <v>2.9</v>
      </c>
      <c r="I387">
        <v>6.79</v>
      </c>
      <c r="J387">
        <v>18.260000000000002</v>
      </c>
      <c r="K387">
        <v>0.68</v>
      </c>
      <c r="L387">
        <v>1.55</v>
      </c>
      <c r="M387">
        <v>6</v>
      </c>
      <c r="N387" t="s">
        <v>622</v>
      </c>
      <c r="O387">
        <v>2</v>
      </c>
      <c r="P387" t="s">
        <v>32</v>
      </c>
      <c r="Q387" t="s">
        <v>33</v>
      </c>
      <c r="R387">
        <v>7.3</v>
      </c>
      <c r="S387">
        <v>32.5</v>
      </c>
      <c r="T387">
        <v>9.1</v>
      </c>
    </row>
    <row r="388" spans="1:20" x14ac:dyDescent="0.3">
      <c r="A388" t="s">
        <v>647</v>
      </c>
      <c r="B388">
        <v>100</v>
      </c>
      <c r="C388">
        <v>100</v>
      </c>
      <c r="D388">
        <v>0.72</v>
      </c>
      <c r="E388">
        <v>4885</v>
      </c>
      <c r="F388">
        <v>10</v>
      </c>
      <c r="G388" t="s">
        <v>643</v>
      </c>
      <c r="H388">
        <v>3.07</v>
      </c>
      <c r="I388">
        <v>1.94</v>
      </c>
      <c r="J388">
        <v>16.28</v>
      </c>
      <c r="K388">
        <v>0.93</v>
      </c>
      <c r="L388">
        <v>1.43</v>
      </c>
      <c r="M388">
        <v>6</v>
      </c>
      <c r="N388" t="s">
        <v>622</v>
      </c>
      <c r="O388">
        <v>3</v>
      </c>
      <c r="P388" t="s">
        <v>32</v>
      </c>
      <c r="Q388" t="s">
        <v>41</v>
      </c>
      <c r="R388">
        <v>-1.3</v>
      </c>
      <c r="S388">
        <v>25.4</v>
      </c>
      <c r="T388">
        <v>11.7</v>
      </c>
    </row>
    <row r="389" spans="1:20" x14ac:dyDescent="0.3">
      <c r="A389" t="s">
        <v>648</v>
      </c>
      <c r="B389">
        <v>100</v>
      </c>
      <c r="C389">
        <v>100</v>
      </c>
      <c r="D389">
        <v>0.6</v>
      </c>
      <c r="E389">
        <v>2855</v>
      </c>
      <c r="F389">
        <v>2</v>
      </c>
      <c r="G389" t="s">
        <v>633</v>
      </c>
      <c r="H389">
        <v>3.64</v>
      </c>
      <c r="I389">
        <v>-0.51</v>
      </c>
      <c r="J389">
        <v>15.44</v>
      </c>
      <c r="K389">
        <v>0.91</v>
      </c>
      <c r="L389">
        <v>1.3</v>
      </c>
      <c r="M389">
        <v>6</v>
      </c>
      <c r="N389" t="s">
        <v>622</v>
      </c>
      <c r="O389">
        <v>5</v>
      </c>
      <c r="P389" t="s">
        <v>32</v>
      </c>
      <c r="Q389" t="s">
        <v>47</v>
      </c>
      <c r="R389">
        <v>0.9</v>
      </c>
    </row>
    <row r="390" spans="1:20" x14ac:dyDescent="0.3">
      <c r="A390" t="s">
        <v>649</v>
      </c>
      <c r="B390">
        <v>2000</v>
      </c>
      <c r="C390">
        <v>1000</v>
      </c>
      <c r="D390">
        <v>0.17</v>
      </c>
      <c r="E390">
        <v>4169</v>
      </c>
      <c r="F390">
        <v>10</v>
      </c>
      <c r="G390" t="s">
        <v>627</v>
      </c>
      <c r="H390">
        <v>4.8899999999999997</v>
      </c>
      <c r="I390">
        <v>1.36</v>
      </c>
      <c r="J390">
        <v>0.38</v>
      </c>
      <c r="K390">
        <v>0.74</v>
      </c>
      <c r="L390">
        <v>0.98</v>
      </c>
      <c r="M390">
        <v>2</v>
      </c>
      <c r="N390" t="s">
        <v>622</v>
      </c>
      <c r="O390">
        <v>4</v>
      </c>
      <c r="P390" t="s">
        <v>34</v>
      </c>
      <c r="Q390" t="s">
        <v>51</v>
      </c>
      <c r="R390">
        <v>5.7</v>
      </c>
      <c r="S390">
        <v>4.2</v>
      </c>
      <c r="T390">
        <v>3.3</v>
      </c>
    </row>
    <row r="391" spans="1:20" x14ac:dyDescent="0.3">
      <c r="A391" t="s">
        <v>650</v>
      </c>
      <c r="B391">
        <v>2000</v>
      </c>
      <c r="C391">
        <v>1000</v>
      </c>
      <c r="D391">
        <v>0.33</v>
      </c>
      <c r="E391">
        <v>433</v>
      </c>
      <c r="F391">
        <v>10</v>
      </c>
      <c r="G391" t="s">
        <v>627</v>
      </c>
      <c r="H391">
        <v>3.93</v>
      </c>
      <c r="I391">
        <v>1.44</v>
      </c>
      <c r="J391">
        <v>4.28</v>
      </c>
      <c r="K391">
        <v>-1.59</v>
      </c>
      <c r="L391">
        <v>0.83</v>
      </c>
      <c r="M391">
        <v>2</v>
      </c>
      <c r="N391" t="s">
        <v>622</v>
      </c>
      <c r="O391">
        <v>2</v>
      </c>
      <c r="P391" t="s">
        <v>34</v>
      </c>
      <c r="Q391" t="s">
        <v>52</v>
      </c>
      <c r="R391">
        <v>5.6</v>
      </c>
      <c r="S391">
        <v>4.9000000000000004</v>
      </c>
      <c r="T391">
        <v>1.8</v>
      </c>
    </row>
    <row r="392" spans="1:20" x14ac:dyDescent="0.3">
      <c r="A392" t="s">
        <v>651</v>
      </c>
      <c r="B392">
        <v>0</v>
      </c>
      <c r="C392">
        <v>500</v>
      </c>
      <c r="D392">
        <v>1.22</v>
      </c>
      <c r="E392">
        <v>27</v>
      </c>
      <c r="F392">
        <v>6</v>
      </c>
      <c r="G392" t="s">
        <v>624</v>
      </c>
      <c r="H392">
        <v>3.85</v>
      </c>
      <c r="I392">
        <v>13.85</v>
      </c>
      <c r="J392">
        <v>20.25</v>
      </c>
      <c r="K392">
        <v>0.98</v>
      </c>
      <c r="L392">
        <v>1.82</v>
      </c>
      <c r="M392">
        <v>6</v>
      </c>
      <c r="N392" t="s">
        <v>622</v>
      </c>
      <c r="O392">
        <v>0</v>
      </c>
      <c r="P392" t="s">
        <v>32</v>
      </c>
      <c r="Q392" t="s">
        <v>64</v>
      </c>
      <c r="R392">
        <v>1.4</v>
      </c>
      <c r="S392">
        <v>42.8</v>
      </c>
      <c r="T392">
        <v>9.5</v>
      </c>
    </row>
    <row r="393" spans="1:20" x14ac:dyDescent="0.3">
      <c r="A393" t="s">
        <v>651</v>
      </c>
      <c r="B393">
        <v>0</v>
      </c>
      <c r="C393">
        <v>500</v>
      </c>
      <c r="D393">
        <v>1.23</v>
      </c>
      <c r="E393">
        <v>31</v>
      </c>
      <c r="F393">
        <v>5</v>
      </c>
      <c r="G393" t="s">
        <v>624</v>
      </c>
      <c r="H393">
        <v>4.0999999999999996</v>
      </c>
      <c r="I393">
        <v>15.38</v>
      </c>
      <c r="J393">
        <v>20.47</v>
      </c>
      <c r="K393">
        <v>0.98</v>
      </c>
      <c r="L393">
        <v>1.88</v>
      </c>
      <c r="M393">
        <v>6</v>
      </c>
      <c r="N393" t="s">
        <v>622</v>
      </c>
      <c r="O393">
        <v>0</v>
      </c>
      <c r="P393" t="s">
        <v>32</v>
      </c>
      <c r="Q393" t="s">
        <v>64</v>
      </c>
      <c r="R393">
        <v>3.8</v>
      </c>
      <c r="S393">
        <v>44.8</v>
      </c>
      <c r="T393">
        <v>9.8000000000000007</v>
      </c>
    </row>
    <row r="394" spans="1:20" x14ac:dyDescent="0.3">
      <c r="A394" t="s">
        <v>651</v>
      </c>
      <c r="B394">
        <v>0</v>
      </c>
      <c r="C394">
        <v>500</v>
      </c>
      <c r="D394">
        <v>1.26</v>
      </c>
      <c r="E394">
        <v>62</v>
      </c>
      <c r="F394">
        <v>6</v>
      </c>
      <c r="G394" t="s">
        <v>624</v>
      </c>
      <c r="H394">
        <v>3.89</v>
      </c>
      <c r="I394">
        <v>13.76</v>
      </c>
      <c r="J394">
        <v>19.920000000000002</v>
      </c>
      <c r="K394">
        <v>0.95</v>
      </c>
      <c r="L394">
        <v>1.81</v>
      </c>
      <c r="M394">
        <v>6</v>
      </c>
      <c r="N394" t="s">
        <v>622</v>
      </c>
      <c r="O394">
        <v>0</v>
      </c>
      <c r="P394" t="s">
        <v>32</v>
      </c>
      <c r="Q394" t="s">
        <v>64</v>
      </c>
      <c r="R394">
        <v>3.5</v>
      </c>
      <c r="S394">
        <v>42.3</v>
      </c>
      <c r="T394">
        <v>8.6</v>
      </c>
    </row>
    <row r="395" spans="1:20" x14ac:dyDescent="0.3">
      <c r="A395" t="s">
        <v>652</v>
      </c>
      <c r="B395">
        <v>0</v>
      </c>
      <c r="C395">
        <v>500</v>
      </c>
      <c r="D395">
        <v>1.3</v>
      </c>
      <c r="E395">
        <v>18</v>
      </c>
      <c r="F395">
        <v>5</v>
      </c>
      <c r="G395" t="s">
        <v>624</v>
      </c>
      <c r="H395">
        <v>4.32</v>
      </c>
      <c r="I395">
        <v>13.41</v>
      </c>
      <c r="J395">
        <v>18.95</v>
      </c>
      <c r="K395">
        <v>0.93</v>
      </c>
      <c r="L395">
        <v>1.86</v>
      </c>
      <c r="M395">
        <v>6</v>
      </c>
      <c r="N395" t="s">
        <v>622</v>
      </c>
      <c r="O395">
        <v>0</v>
      </c>
      <c r="P395" t="s">
        <v>32</v>
      </c>
      <c r="Q395" t="s">
        <v>64</v>
      </c>
      <c r="R395">
        <v>5.4</v>
      </c>
      <c r="S395">
        <v>46.9</v>
      </c>
    </row>
    <row r="396" spans="1:20" x14ac:dyDescent="0.3">
      <c r="A396" t="s">
        <v>652</v>
      </c>
      <c r="B396">
        <v>0</v>
      </c>
      <c r="C396">
        <v>500</v>
      </c>
      <c r="D396">
        <v>1.2</v>
      </c>
      <c r="E396">
        <v>10</v>
      </c>
      <c r="F396">
        <v>7</v>
      </c>
      <c r="G396" t="s">
        <v>624</v>
      </c>
      <c r="H396">
        <v>3.46</v>
      </c>
      <c r="I396">
        <v>2.08</v>
      </c>
      <c r="J396">
        <v>16.02</v>
      </c>
      <c r="K396">
        <v>0.94</v>
      </c>
      <c r="L396">
        <v>1.51</v>
      </c>
      <c r="M396">
        <v>6</v>
      </c>
      <c r="N396" t="s">
        <v>622</v>
      </c>
      <c r="O396">
        <v>0</v>
      </c>
      <c r="P396" t="s">
        <v>32</v>
      </c>
      <c r="Q396" t="s">
        <v>64</v>
      </c>
      <c r="R396">
        <v>4</v>
      </c>
      <c r="S396">
        <v>29.2</v>
      </c>
      <c r="T396">
        <v>12.5</v>
      </c>
    </row>
    <row r="397" spans="1:20" x14ac:dyDescent="0.3">
      <c r="A397" t="s">
        <v>652</v>
      </c>
      <c r="B397">
        <v>0</v>
      </c>
      <c r="C397">
        <v>500</v>
      </c>
      <c r="D397">
        <v>1.01</v>
      </c>
      <c r="E397">
        <v>16</v>
      </c>
      <c r="F397">
        <v>8</v>
      </c>
      <c r="G397" t="s">
        <v>624</v>
      </c>
      <c r="H397">
        <v>3.5</v>
      </c>
      <c r="I397">
        <v>2.52</v>
      </c>
      <c r="J397">
        <v>16.100000000000001</v>
      </c>
      <c r="K397">
        <v>0.94</v>
      </c>
      <c r="L397">
        <v>1.53</v>
      </c>
      <c r="M397">
        <v>6</v>
      </c>
      <c r="N397" t="s">
        <v>622</v>
      </c>
      <c r="O397">
        <v>0</v>
      </c>
      <c r="P397" t="s">
        <v>32</v>
      </c>
      <c r="Q397" t="s">
        <v>64</v>
      </c>
      <c r="R397">
        <v>4.4000000000000004</v>
      </c>
      <c r="S397">
        <v>29.6</v>
      </c>
      <c r="T397">
        <v>11.5</v>
      </c>
    </row>
    <row r="398" spans="1:20" x14ac:dyDescent="0.3">
      <c r="A398" t="s">
        <v>653</v>
      </c>
      <c r="B398">
        <v>250</v>
      </c>
      <c r="C398">
        <v>5000</v>
      </c>
      <c r="D398">
        <v>1.1100000000000001</v>
      </c>
      <c r="E398">
        <v>45</v>
      </c>
      <c r="F398">
        <v>10</v>
      </c>
      <c r="G398" t="s">
        <v>627</v>
      </c>
      <c r="H398">
        <v>0.08</v>
      </c>
      <c r="I398">
        <v>-0.16</v>
      </c>
      <c r="J398">
        <v>2.44</v>
      </c>
      <c r="K398">
        <v>1.03</v>
      </c>
      <c r="L398">
        <v>0.05</v>
      </c>
      <c r="M398">
        <v>3</v>
      </c>
      <c r="N398" t="s">
        <v>622</v>
      </c>
      <c r="O398">
        <v>2</v>
      </c>
      <c r="P398" t="s">
        <v>34</v>
      </c>
      <c r="Q398" t="s">
        <v>53</v>
      </c>
      <c r="R398">
        <v>2.5</v>
      </c>
      <c r="S398">
        <v>5</v>
      </c>
      <c r="T398">
        <v>5.3</v>
      </c>
    </row>
    <row r="399" spans="1:20" x14ac:dyDescent="0.3">
      <c r="A399" t="s">
        <v>654</v>
      </c>
      <c r="B399">
        <v>100</v>
      </c>
      <c r="C399">
        <v>100</v>
      </c>
      <c r="D399">
        <v>1.04</v>
      </c>
      <c r="E399">
        <v>7048</v>
      </c>
      <c r="F399">
        <v>10</v>
      </c>
      <c r="G399" t="s">
        <v>621</v>
      </c>
      <c r="H399">
        <v>3.74</v>
      </c>
      <c r="I399">
        <v>-1.1399999999999999</v>
      </c>
      <c r="J399">
        <v>16.07</v>
      </c>
      <c r="K399">
        <v>0.87</v>
      </c>
      <c r="L399">
        <v>1.53</v>
      </c>
      <c r="M399">
        <v>6</v>
      </c>
      <c r="N399" t="s">
        <v>622</v>
      </c>
      <c r="O399">
        <v>2</v>
      </c>
      <c r="P399" t="s">
        <v>32</v>
      </c>
      <c r="Q399" t="s">
        <v>54</v>
      </c>
      <c r="R399">
        <v>4.3</v>
      </c>
      <c r="S399">
        <v>27.4</v>
      </c>
      <c r="T399">
        <v>8.1999999999999993</v>
      </c>
    </row>
    <row r="400" spans="1:20" x14ac:dyDescent="0.3">
      <c r="A400" t="s">
        <v>655</v>
      </c>
      <c r="B400">
        <v>1000</v>
      </c>
      <c r="C400">
        <v>1000</v>
      </c>
      <c r="D400">
        <v>0.22</v>
      </c>
      <c r="E400">
        <v>64</v>
      </c>
      <c r="F400">
        <v>5</v>
      </c>
      <c r="G400" t="s">
        <v>656</v>
      </c>
      <c r="H400">
        <v>4.91</v>
      </c>
      <c r="I400">
        <v>1.87</v>
      </c>
      <c r="J400">
        <v>0.44</v>
      </c>
      <c r="K400">
        <v>0.96</v>
      </c>
      <c r="L400">
        <v>1.34</v>
      </c>
      <c r="M400">
        <v>1</v>
      </c>
      <c r="N400" t="s">
        <v>622</v>
      </c>
      <c r="O400">
        <v>3</v>
      </c>
      <c r="P400" t="s">
        <v>34</v>
      </c>
      <c r="Q400" t="s">
        <v>55</v>
      </c>
      <c r="R400">
        <v>5.4</v>
      </c>
      <c r="S400">
        <v>4.7</v>
      </c>
    </row>
    <row r="401" spans="1:20" x14ac:dyDescent="0.3">
      <c r="A401" t="s">
        <v>657</v>
      </c>
      <c r="B401">
        <v>100</v>
      </c>
      <c r="C401">
        <v>100</v>
      </c>
      <c r="D401">
        <v>0.97</v>
      </c>
      <c r="E401">
        <v>1795</v>
      </c>
      <c r="F401">
        <v>10</v>
      </c>
      <c r="G401" t="s">
        <v>633</v>
      </c>
      <c r="H401">
        <v>3.06</v>
      </c>
      <c r="I401">
        <v>2.11</v>
      </c>
      <c r="J401">
        <v>15.69</v>
      </c>
      <c r="K401">
        <v>0.9</v>
      </c>
      <c r="L401">
        <v>1.48</v>
      </c>
      <c r="M401">
        <v>6</v>
      </c>
      <c r="N401" t="s">
        <v>622</v>
      </c>
      <c r="O401">
        <v>3</v>
      </c>
      <c r="P401" t="s">
        <v>32</v>
      </c>
      <c r="Q401" t="s">
        <v>110</v>
      </c>
      <c r="R401">
        <v>-2.2000000000000002</v>
      </c>
      <c r="S401">
        <v>28.1</v>
      </c>
      <c r="T401">
        <v>11</v>
      </c>
    </row>
    <row r="402" spans="1:20" x14ac:dyDescent="0.3">
      <c r="A402" t="s">
        <v>657</v>
      </c>
      <c r="B402">
        <v>0</v>
      </c>
      <c r="C402">
        <v>5000</v>
      </c>
      <c r="D402">
        <v>0.79</v>
      </c>
      <c r="E402">
        <v>84</v>
      </c>
      <c r="F402">
        <v>5</v>
      </c>
      <c r="G402" t="s">
        <v>624</v>
      </c>
      <c r="H402">
        <v>3.45</v>
      </c>
      <c r="I402">
        <v>0.55000000000000004</v>
      </c>
      <c r="J402">
        <v>15.71</v>
      </c>
      <c r="K402">
        <v>0.91</v>
      </c>
      <c r="L402">
        <v>1.39</v>
      </c>
      <c r="M402">
        <v>6</v>
      </c>
      <c r="N402" t="s">
        <v>622</v>
      </c>
      <c r="O402">
        <v>0</v>
      </c>
      <c r="P402" t="s">
        <v>32</v>
      </c>
      <c r="Q402" t="s">
        <v>110</v>
      </c>
      <c r="R402">
        <v>1.5</v>
      </c>
      <c r="S402">
        <v>25</v>
      </c>
    </row>
    <row r="403" spans="1:20" x14ac:dyDescent="0.3">
      <c r="A403" t="s">
        <v>657</v>
      </c>
      <c r="B403">
        <v>0</v>
      </c>
      <c r="C403">
        <v>5000</v>
      </c>
      <c r="D403">
        <v>0.79</v>
      </c>
      <c r="E403">
        <v>143</v>
      </c>
      <c r="F403">
        <v>5</v>
      </c>
      <c r="G403" t="s">
        <v>624</v>
      </c>
      <c r="H403">
        <v>3.46</v>
      </c>
      <c r="I403">
        <v>0.55000000000000004</v>
      </c>
      <c r="J403">
        <v>15.69</v>
      </c>
      <c r="K403">
        <v>0.91</v>
      </c>
      <c r="L403">
        <v>1.39</v>
      </c>
      <c r="M403">
        <v>6</v>
      </c>
      <c r="N403" t="s">
        <v>622</v>
      </c>
      <c r="O403">
        <v>0</v>
      </c>
      <c r="P403" t="s">
        <v>32</v>
      </c>
      <c r="Q403" t="s">
        <v>110</v>
      </c>
      <c r="R403">
        <v>1.6</v>
      </c>
      <c r="S403">
        <v>25</v>
      </c>
    </row>
    <row r="404" spans="1:20" x14ac:dyDescent="0.3">
      <c r="A404" t="s">
        <v>658</v>
      </c>
      <c r="B404">
        <v>500</v>
      </c>
      <c r="C404">
        <v>100</v>
      </c>
      <c r="D404">
        <v>0.46</v>
      </c>
      <c r="E404">
        <v>52</v>
      </c>
      <c r="F404">
        <v>10</v>
      </c>
      <c r="G404" t="s">
        <v>624</v>
      </c>
      <c r="H404">
        <v>2.5099999999999998</v>
      </c>
      <c r="I404">
        <v>-0.45</v>
      </c>
      <c r="J404">
        <v>16.989999999999998</v>
      </c>
      <c r="K404">
        <v>0.98</v>
      </c>
      <c r="L404">
        <v>1.27</v>
      </c>
      <c r="M404">
        <v>6</v>
      </c>
      <c r="N404" t="s">
        <v>622</v>
      </c>
      <c r="O404">
        <v>2</v>
      </c>
      <c r="P404" t="s">
        <v>23</v>
      </c>
      <c r="Q404" t="s">
        <v>56</v>
      </c>
      <c r="R404">
        <v>-3.1</v>
      </c>
      <c r="S404">
        <v>26.2</v>
      </c>
      <c r="T404">
        <v>8.1999999999999993</v>
      </c>
    </row>
    <row r="405" spans="1:20" x14ac:dyDescent="0.3">
      <c r="A405" t="s">
        <v>659</v>
      </c>
      <c r="B405">
        <v>1000</v>
      </c>
      <c r="C405">
        <v>5000</v>
      </c>
      <c r="D405">
        <v>7.0000000000000007E-2</v>
      </c>
      <c r="E405">
        <v>1006</v>
      </c>
      <c r="F405">
        <v>4</v>
      </c>
      <c r="G405" t="s">
        <v>656</v>
      </c>
      <c r="H405">
        <v>-0.3</v>
      </c>
      <c r="I405">
        <v>0.6</v>
      </c>
      <c r="J405">
        <v>0.35</v>
      </c>
      <c r="K405">
        <v>0.46</v>
      </c>
      <c r="L405">
        <v>-0.05</v>
      </c>
      <c r="M405">
        <v>2</v>
      </c>
      <c r="N405" t="s">
        <v>622</v>
      </c>
      <c r="O405">
        <v>2</v>
      </c>
      <c r="P405" t="s">
        <v>34</v>
      </c>
      <c r="Q405" t="s">
        <v>57</v>
      </c>
      <c r="R405">
        <v>5.4</v>
      </c>
      <c r="S405">
        <v>3.9</v>
      </c>
    </row>
    <row r="406" spans="1:20" x14ac:dyDescent="0.3">
      <c r="A406" t="s">
        <v>660</v>
      </c>
      <c r="B406">
        <v>750</v>
      </c>
      <c r="C406">
        <v>100</v>
      </c>
      <c r="D406">
        <v>0.93</v>
      </c>
      <c r="E406">
        <v>2272</v>
      </c>
      <c r="F406">
        <v>5</v>
      </c>
      <c r="G406" t="s">
        <v>624</v>
      </c>
      <c r="H406">
        <v>3.44</v>
      </c>
      <c r="I406">
        <v>4.8099999999999996</v>
      </c>
      <c r="J406">
        <v>16.55</v>
      </c>
      <c r="K406">
        <v>0.92</v>
      </c>
      <c r="L406">
        <v>1.6</v>
      </c>
      <c r="M406">
        <v>6</v>
      </c>
      <c r="N406" t="s">
        <v>622</v>
      </c>
      <c r="O406">
        <v>0</v>
      </c>
      <c r="P406" t="s">
        <v>32</v>
      </c>
      <c r="Q406" t="s">
        <v>33</v>
      </c>
      <c r="R406">
        <v>3.2</v>
      </c>
      <c r="S406">
        <v>31.3</v>
      </c>
    </row>
    <row r="407" spans="1:20" x14ac:dyDescent="0.3">
      <c r="A407" t="s">
        <v>661</v>
      </c>
      <c r="B407">
        <v>2000</v>
      </c>
      <c r="C407">
        <v>5000</v>
      </c>
      <c r="D407">
        <v>0.28000000000000003</v>
      </c>
      <c r="E407">
        <v>200</v>
      </c>
      <c r="F407">
        <v>10</v>
      </c>
      <c r="G407" t="s">
        <v>627</v>
      </c>
      <c r="H407">
        <v>2.2799999999999998</v>
      </c>
      <c r="I407">
        <v>2.16</v>
      </c>
      <c r="J407">
        <v>4.82</v>
      </c>
      <c r="K407">
        <v>-1.49</v>
      </c>
      <c r="L407">
        <v>0.86</v>
      </c>
      <c r="M407">
        <v>2</v>
      </c>
      <c r="N407" t="s">
        <v>622</v>
      </c>
      <c r="O407">
        <v>5</v>
      </c>
      <c r="P407" t="s">
        <v>34</v>
      </c>
      <c r="Q407" t="s">
        <v>62</v>
      </c>
      <c r="R407">
        <v>4.8</v>
      </c>
      <c r="S407">
        <v>6.4</v>
      </c>
      <c r="T407">
        <v>4.8</v>
      </c>
    </row>
    <row r="408" spans="1:20" x14ac:dyDescent="0.3">
      <c r="A408" t="s">
        <v>662</v>
      </c>
      <c r="B408">
        <v>250</v>
      </c>
      <c r="C408">
        <v>100</v>
      </c>
      <c r="D408">
        <v>1.01</v>
      </c>
      <c r="E408">
        <v>1962</v>
      </c>
      <c r="F408">
        <v>10</v>
      </c>
      <c r="G408" t="s">
        <v>643</v>
      </c>
      <c r="H408">
        <v>3.47</v>
      </c>
      <c r="I408">
        <v>6.06</v>
      </c>
      <c r="J408">
        <v>18.079999999999998</v>
      </c>
      <c r="K408">
        <v>0.83</v>
      </c>
      <c r="L408">
        <v>1.88</v>
      </c>
      <c r="M408">
        <v>6</v>
      </c>
      <c r="N408" t="s">
        <v>622</v>
      </c>
      <c r="O408">
        <v>2</v>
      </c>
      <c r="P408" t="s">
        <v>32</v>
      </c>
      <c r="Q408" t="s">
        <v>63</v>
      </c>
      <c r="R408">
        <v>1.6</v>
      </c>
      <c r="S408">
        <v>44.9</v>
      </c>
      <c r="T408">
        <v>9.3000000000000007</v>
      </c>
    </row>
    <row r="409" spans="1:20" x14ac:dyDescent="0.3">
      <c r="A409" t="s">
        <v>663</v>
      </c>
      <c r="B409">
        <v>500</v>
      </c>
      <c r="C409">
        <v>500</v>
      </c>
      <c r="D409">
        <v>1.76</v>
      </c>
      <c r="E409">
        <v>930</v>
      </c>
      <c r="F409">
        <v>10</v>
      </c>
      <c r="G409" t="s">
        <v>633</v>
      </c>
      <c r="H409">
        <v>3.24</v>
      </c>
      <c r="I409">
        <v>1.74</v>
      </c>
      <c r="J409">
        <v>15.82</v>
      </c>
      <c r="K409">
        <v>0.92</v>
      </c>
      <c r="L409">
        <v>1.48</v>
      </c>
      <c r="M409">
        <v>6</v>
      </c>
      <c r="N409" t="s">
        <v>622</v>
      </c>
      <c r="O409">
        <v>3</v>
      </c>
      <c r="P409" t="s">
        <v>32</v>
      </c>
      <c r="Q409" t="s">
        <v>64</v>
      </c>
      <c r="R409">
        <v>1.2</v>
      </c>
      <c r="S409">
        <v>27.7</v>
      </c>
      <c r="T409">
        <v>9.9</v>
      </c>
    </row>
    <row r="410" spans="1:20" x14ac:dyDescent="0.3">
      <c r="A410" t="s">
        <v>664</v>
      </c>
      <c r="B410">
        <v>2000</v>
      </c>
      <c r="C410">
        <v>1000</v>
      </c>
      <c r="D410">
        <v>0.17</v>
      </c>
      <c r="E410">
        <v>1412</v>
      </c>
      <c r="F410">
        <v>10</v>
      </c>
      <c r="G410" t="s">
        <v>656</v>
      </c>
      <c r="H410">
        <v>4.75</v>
      </c>
      <c r="I410">
        <v>2.16</v>
      </c>
      <c r="J410">
        <v>0.46</v>
      </c>
      <c r="K410">
        <v>0.99</v>
      </c>
      <c r="L410">
        <v>1.85</v>
      </c>
      <c r="M410">
        <v>3</v>
      </c>
      <c r="N410" t="s">
        <v>622</v>
      </c>
      <c r="O410">
        <v>3</v>
      </c>
      <c r="P410" t="s">
        <v>34</v>
      </c>
      <c r="Q410" t="s">
        <v>61</v>
      </c>
      <c r="R410">
        <v>5.7</v>
      </c>
      <c r="S410">
        <v>4.7</v>
      </c>
      <c r="T410">
        <v>4.5</v>
      </c>
    </row>
    <row r="411" spans="1:20" x14ac:dyDescent="0.3">
      <c r="A411" t="s">
        <v>665</v>
      </c>
      <c r="B411">
        <v>150</v>
      </c>
      <c r="C411">
        <v>5000</v>
      </c>
      <c r="D411">
        <v>0.28000000000000003</v>
      </c>
      <c r="E411">
        <v>5925</v>
      </c>
      <c r="F411">
        <v>4</v>
      </c>
      <c r="G411" t="s">
        <v>666</v>
      </c>
      <c r="H411">
        <v>1.97</v>
      </c>
      <c r="I411">
        <v>1.94</v>
      </c>
      <c r="J411">
        <v>0.75</v>
      </c>
      <c r="K411">
        <v>0.69</v>
      </c>
      <c r="L411">
        <v>1.36</v>
      </c>
      <c r="M411">
        <v>1</v>
      </c>
      <c r="N411" t="s">
        <v>667</v>
      </c>
      <c r="O411">
        <v>5</v>
      </c>
      <c r="P411" t="s">
        <v>27</v>
      </c>
      <c r="Q411" t="s">
        <v>28</v>
      </c>
      <c r="R411">
        <v>5.7</v>
      </c>
      <c r="S411">
        <v>5</v>
      </c>
    </row>
    <row r="412" spans="1:20" x14ac:dyDescent="0.3">
      <c r="A412" t="s">
        <v>668</v>
      </c>
      <c r="B412">
        <v>150</v>
      </c>
      <c r="C412">
        <v>5000</v>
      </c>
      <c r="D412">
        <v>0.28000000000000003</v>
      </c>
      <c r="E412">
        <v>6396</v>
      </c>
      <c r="F412">
        <v>4</v>
      </c>
      <c r="G412" t="s">
        <v>669</v>
      </c>
      <c r="H412">
        <v>4.01</v>
      </c>
      <c r="I412">
        <v>3.8</v>
      </c>
      <c r="J412">
        <v>8.5</v>
      </c>
      <c r="K412">
        <v>0.56999999999999995</v>
      </c>
      <c r="L412">
        <v>1.69</v>
      </c>
      <c r="M412">
        <v>4</v>
      </c>
      <c r="N412" t="s">
        <v>667</v>
      </c>
      <c r="O412">
        <v>4</v>
      </c>
      <c r="P412" t="s">
        <v>27</v>
      </c>
      <c r="Q412" t="s">
        <v>31</v>
      </c>
      <c r="R412">
        <v>5.8</v>
      </c>
      <c r="S412">
        <v>18.7</v>
      </c>
    </row>
    <row r="413" spans="1:20" x14ac:dyDescent="0.3">
      <c r="A413" t="s">
        <v>670</v>
      </c>
      <c r="B413">
        <v>150</v>
      </c>
      <c r="C413">
        <v>5000</v>
      </c>
      <c r="D413">
        <v>0.59</v>
      </c>
      <c r="E413">
        <v>1272</v>
      </c>
      <c r="F413">
        <v>7</v>
      </c>
      <c r="G413" t="s">
        <v>671</v>
      </c>
      <c r="H413">
        <v>2.2000000000000002</v>
      </c>
      <c r="I413">
        <v>1.61</v>
      </c>
      <c r="J413">
        <v>21.31</v>
      </c>
      <c r="K413">
        <v>0.81</v>
      </c>
      <c r="L413">
        <v>1</v>
      </c>
      <c r="M413">
        <v>6</v>
      </c>
      <c r="N413" t="s">
        <v>667</v>
      </c>
      <c r="O413">
        <v>4</v>
      </c>
      <c r="P413" t="s">
        <v>32</v>
      </c>
      <c r="Q413" t="s">
        <v>33</v>
      </c>
      <c r="R413">
        <v>11.9</v>
      </c>
      <c r="S413">
        <v>23.2</v>
      </c>
      <c r="T413">
        <v>12.6</v>
      </c>
    </row>
    <row r="414" spans="1:20" x14ac:dyDescent="0.3">
      <c r="A414" t="s">
        <v>672</v>
      </c>
      <c r="B414">
        <v>150</v>
      </c>
      <c r="C414">
        <v>5000</v>
      </c>
      <c r="D414">
        <v>0.23</v>
      </c>
      <c r="E414">
        <v>262</v>
      </c>
      <c r="F414">
        <v>3</v>
      </c>
      <c r="G414" t="s">
        <v>673</v>
      </c>
      <c r="H414">
        <v>1.68</v>
      </c>
      <c r="I414">
        <v>4.51</v>
      </c>
      <c r="J414">
        <v>2.2799999999999998</v>
      </c>
      <c r="K414">
        <v>1.85</v>
      </c>
      <c r="L414">
        <v>0.89</v>
      </c>
      <c r="M414">
        <v>2</v>
      </c>
      <c r="N414" t="s">
        <v>667</v>
      </c>
      <c r="O414">
        <v>3</v>
      </c>
      <c r="P414" t="s">
        <v>34</v>
      </c>
      <c r="Q414" t="s">
        <v>35</v>
      </c>
      <c r="R414">
        <v>4</v>
      </c>
      <c r="S414">
        <v>6.9</v>
      </c>
    </row>
    <row r="415" spans="1:20" x14ac:dyDescent="0.3">
      <c r="A415" t="s">
        <v>674</v>
      </c>
      <c r="B415">
        <v>150</v>
      </c>
      <c r="C415">
        <v>5000</v>
      </c>
      <c r="D415">
        <v>0.31</v>
      </c>
      <c r="E415">
        <v>6765</v>
      </c>
      <c r="F415">
        <v>7</v>
      </c>
      <c r="G415" t="s">
        <v>675</v>
      </c>
      <c r="H415">
        <v>2.29</v>
      </c>
      <c r="I415">
        <v>6.11</v>
      </c>
      <c r="J415">
        <v>22.78</v>
      </c>
      <c r="K415">
        <v>0.92</v>
      </c>
      <c r="L415">
        <v>1.37</v>
      </c>
      <c r="M415">
        <v>6</v>
      </c>
      <c r="N415" t="s">
        <v>667</v>
      </c>
      <c r="O415">
        <v>0</v>
      </c>
      <c r="P415" t="s">
        <v>32</v>
      </c>
      <c r="Q415" t="s">
        <v>33</v>
      </c>
      <c r="R415">
        <v>-16</v>
      </c>
      <c r="S415">
        <v>39</v>
      </c>
      <c r="T415">
        <v>22.1</v>
      </c>
    </row>
    <row r="416" spans="1:20" x14ac:dyDescent="0.3">
      <c r="A416" t="s">
        <v>676</v>
      </c>
      <c r="B416">
        <v>150</v>
      </c>
      <c r="C416">
        <v>5000</v>
      </c>
      <c r="D416">
        <v>0.91</v>
      </c>
      <c r="E416">
        <v>5119</v>
      </c>
      <c r="F416">
        <v>10</v>
      </c>
      <c r="G416" t="s">
        <v>671</v>
      </c>
      <c r="H416">
        <v>3.31</v>
      </c>
      <c r="I416">
        <v>3.51</v>
      </c>
      <c r="J416">
        <v>14.91</v>
      </c>
      <c r="K416">
        <v>0.86</v>
      </c>
      <c r="L416">
        <v>1.54</v>
      </c>
      <c r="M416">
        <v>6</v>
      </c>
      <c r="N416" t="s">
        <v>667</v>
      </c>
      <c r="O416">
        <v>2</v>
      </c>
      <c r="P416" t="s">
        <v>32</v>
      </c>
      <c r="Q416" t="s">
        <v>58</v>
      </c>
      <c r="R416">
        <v>6.6</v>
      </c>
      <c r="S416">
        <v>27.8</v>
      </c>
      <c r="T416">
        <v>10</v>
      </c>
    </row>
    <row r="417" spans="1:20" x14ac:dyDescent="0.3">
      <c r="A417" t="s">
        <v>677</v>
      </c>
      <c r="B417">
        <v>150</v>
      </c>
      <c r="C417">
        <v>5000</v>
      </c>
      <c r="D417">
        <v>0.12</v>
      </c>
      <c r="E417">
        <v>142</v>
      </c>
      <c r="F417">
        <v>10</v>
      </c>
      <c r="G417" t="s">
        <v>666</v>
      </c>
      <c r="H417">
        <v>3.37</v>
      </c>
      <c r="I417">
        <v>2.17</v>
      </c>
      <c r="J417">
        <v>5.15</v>
      </c>
      <c r="K417">
        <v>0.81</v>
      </c>
      <c r="L417">
        <v>1.54</v>
      </c>
      <c r="M417">
        <v>4</v>
      </c>
      <c r="N417" t="s">
        <v>667</v>
      </c>
      <c r="O417">
        <v>3</v>
      </c>
      <c r="P417" t="s">
        <v>27</v>
      </c>
      <c r="Q417" t="s">
        <v>43</v>
      </c>
      <c r="R417">
        <v>3.4</v>
      </c>
      <c r="S417">
        <v>12</v>
      </c>
      <c r="T417">
        <v>7.5</v>
      </c>
    </row>
    <row r="418" spans="1:20" x14ac:dyDescent="0.3">
      <c r="A418" t="s">
        <v>678</v>
      </c>
      <c r="B418">
        <v>150</v>
      </c>
      <c r="C418">
        <v>5000</v>
      </c>
      <c r="D418">
        <v>0.94</v>
      </c>
      <c r="E418">
        <v>1501</v>
      </c>
      <c r="F418">
        <v>10</v>
      </c>
      <c r="G418" t="s">
        <v>679</v>
      </c>
      <c r="H418">
        <v>2.75</v>
      </c>
      <c r="I418">
        <v>4.88</v>
      </c>
      <c r="J418">
        <v>14.48</v>
      </c>
      <c r="K418">
        <v>0.74</v>
      </c>
      <c r="L418">
        <v>1.53</v>
      </c>
      <c r="M418">
        <v>6</v>
      </c>
      <c r="N418" t="s">
        <v>667</v>
      </c>
      <c r="O418">
        <v>0</v>
      </c>
      <c r="P418" t="s">
        <v>32</v>
      </c>
      <c r="Q418" t="s">
        <v>33</v>
      </c>
      <c r="R418">
        <v>-1.6</v>
      </c>
      <c r="S418">
        <v>27.9</v>
      </c>
      <c r="T418">
        <v>13.1</v>
      </c>
    </row>
    <row r="419" spans="1:20" x14ac:dyDescent="0.3">
      <c r="A419" t="s">
        <v>680</v>
      </c>
      <c r="B419">
        <v>150</v>
      </c>
      <c r="C419">
        <v>5000</v>
      </c>
      <c r="D419">
        <v>0.77</v>
      </c>
      <c r="E419">
        <v>2096</v>
      </c>
      <c r="F419">
        <v>5</v>
      </c>
      <c r="G419" t="s">
        <v>671</v>
      </c>
      <c r="H419">
        <v>2.58</v>
      </c>
      <c r="I419">
        <v>-1.52</v>
      </c>
      <c r="J419">
        <v>13.88</v>
      </c>
      <c r="K419">
        <v>0.79</v>
      </c>
      <c r="L419">
        <v>1.23</v>
      </c>
      <c r="M419">
        <v>6</v>
      </c>
      <c r="N419" t="s">
        <v>667</v>
      </c>
      <c r="O419">
        <v>2</v>
      </c>
      <c r="P419" t="s">
        <v>32</v>
      </c>
      <c r="Q419" t="s">
        <v>44</v>
      </c>
      <c r="R419">
        <v>-2.5</v>
      </c>
      <c r="S419">
        <v>21.3</v>
      </c>
    </row>
    <row r="420" spans="1:20" x14ac:dyDescent="0.3">
      <c r="A420" t="s">
        <v>681</v>
      </c>
      <c r="B420">
        <v>150</v>
      </c>
      <c r="C420">
        <v>5000</v>
      </c>
      <c r="D420">
        <v>0.3</v>
      </c>
      <c r="E420">
        <v>225</v>
      </c>
      <c r="F420">
        <v>2</v>
      </c>
      <c r="G420" t="s">
        <v>682</v>
      </c>
      <c r="H420" t="s">
        <v>36</v>
      </c>
      <c r="I420" t="s">
        <v>36</v>
      </c>
      <c r="J420" t="s">
        <v>36</v>
      </c>
      <c r="K420" t="s">
        <v>36</v>
      </c>
      <c r="L420" t="s">
        <v>36</v>
      </c>
      <c r="M420">
        <v>2</v>
      </c>
      <c r="N420" t="s">
        <v>667</v>
      </c>
      <c r="O420">
        <v>4</v>
      </c>
      <c r="P420" t="s">
        <v>34</v>
      </c>
      <c r="Q420" t="s">
        <v>45</v>
      </c>
      <c r="R420">
        <v>5.6</v>
      </c>
    </row>
    <row r="421" spans="1:20" x14ac:dyDescent="0.3">
      <c r="A421" t="s">
        <v>683</v>
      </c>
      <c r="B421">
        <v>150</v>
      </c>
      <c r="C421">
        <v>5000</v>
      </c>
      <c r="D421">
        <v>0.46</v>
      </c>
      <c r="E421">
        <v>1212</v>
      </c>
      <c r="F421">
        <v>3</v>
      </c>
      <c r="G421" t="s">
        <v>675</v>
      </c>
      <c r="H421">
        <v>3.06</v>
      </c>
      <c r="I421">
        <v>1.1399999999999999</v>
      </c>
      <c r="J421">
        <v>16.670000000000002</v>
      </c>
      <c r="K421">
        <v>0.96</v>
      </c>
      <c r="L421">
        <v>1.43</v>
      </c>
      <c r="M421">
        <v>6</v>
      </c>
      <c r="N421" t="s">
        <v>667</v>
      </c>
      <c r="O421">
        <v>3</v>
      </c>
      <c r="P421" t="s">
        <v>32</v>
      </c>
      <c r="Q421" t="s">
        <v>46</v>
      </c>
      <c r="R421">
        <v>0.4</v>
      </c>
      <c r="S421">
        <v>28.4</v>
      </c>
    </row>
    <row r="422" spans="1:20" x14ac:dyDescent="0.3">
      <c r="A422" t="s">
        <v>684</v>
      </c>
      <c r="B422">
        <v>150</v>
      </c>
      <c r="C422">
        <v>5000</v>
      </c>
      <c r="D422">
        <v>0.9</v>
      </c>
      <c r="E422">
        <v>256</v>
      </c>
      <c r="F422">
        <v>10</v>
      </c>
      <c r="G422" t="s">
        <v>682</v>
      </c>
      <c r="H422">
        <v>0.31</v>
      </c>
      <c r="I422">
        <v>7.0000000000000007E-2</v>
      </c>
      <c r="J422">
        <v>2.99</v>
      </c>
      <c r="K422">
        <v>0.66</v>
      </c>
      <c r="L422">
        <v>0.27</v>
      </c>
      <c r="M422">
        <v>2</v>
      </c>
      <c r="N422" t="s">
        <v>667</v>
      </c>
      <c r="O422">
        <v>2</v>
      </c>
      <c r="P422" t="s">
        <v>34</v>
      </c>
      <c r="Q422" t="s">
        <v>49</v>
      </c>
      <c r="R422">
        <v>5.2</v>
      </c>
      <c r="S422">
        <v>4.8</v>
      </c>
      <c r="T422">
        <v>6.9</v>
      </c>
    </row>
    <row r="423" spans="1:20" x14ac:dyDescent="0.3">
      <c r="A423" t="s">
        <v>685</v>
      </c>
      <c r="B423">
        <v>150</v>
      </c>
      <c r="C423">
        <v>5000</v>
      </c>
      <c r="D423">
        <v>1.05</v>
      </c>
      <c r="E423">
        <v>3166</v>
      </c>
      <c r="F423">
        <v>10</v>
      </c>
      <c r="G423" t="s">
        <v>686</v>
      </c>
      <c r="H423">
        <v>3.25</v>
      </c>
      <c r="I423">
        <v>2.77</v>
      </c>
      <c r="J423">
        <v>12.35</v>
      </c>
      <c r="K423">
        <v>0.84</v>
      </c>
      <c r="L423">
        <v>1.47</v>
      </c>
      <c r="M423">
        <v>6</v>
      </c>
      <c r="N423" t="s">
        <v>667</v>
      </c>
      <c r="O423">
        <v>3</v>
      </c>
      <c r="P423" t="s">
        <v>27</v>
      </c>
      <c r="Q423" t="s">
        <v>42</v>
      </c>
      <c r="R423">
        <v>6.2</v>
      </c>
      <c r="S423">
        <v>22.8</v>
      </c>
      <c r="T423">
        <v>10.5</v>
      </c>
    </row>
    <row r="424" spans="1:20" x14ac:dyDescent="0.3">
      <c r="A424" t="s">
        <v>687</v>
      </c>
      <c r="B424">
        <v>150</v>
      </c>
      <c r="C424">
        <v>5000</v>
      </c>
      <c r="D424">
        <v>0.91</v>
      </c>
      <c r="E424">
        <v>1346</v>
      </c>
      <c r="F424">
        <v>7</v>
      </c>
      <c r="G424" t="s">
        <v>671</v>
      </c>
      <c r="H424">
        <v>2.78</v>
      </c>
      <c r="I424">
        <v>1.38</v>
      </c>
      <c r="J424">
        <v>13.88</v>
      </c>
      <c r="K424">
        <v>0.73</v>
      </c>
      <c r="L424">
        <v>1.31</v>
      </c>
      <c r="M424">
        <v>6</v>
      </c>
      <c r="N424" t="s">
        <v>667</v>
      </c>
      <c r="O424">
        <v>2</v>
      </c>
      <c r="P424" t="s">
        <v>32</v>
      </c>
      <c r="Q424" t="s">
        <v>33</v>
      </c>
      <c r="R424">
        <v>2.8</v>
      </c>
      <c r="S424">
        <v>23</v>
      </c>
      <c r="T424">
        <v>10.6</v>
      </c>
    </row>
    <row r="425" spans="1:20" x14ac:dyDescent="0.3">
      <c r="A425" t="s">
        <v>688</v>
      </c>
      <c r="B425">
        <v>150</v>
      </c>
      <c r="C425">
        <v>5000</v>
      </c>
      <c r="D425">
        <v>1.01</v>
      </c>
      <c r="E425">
        <v>485</v>
      </c>
      <c r="F425">
        <v>7</v>
      </c>
      <c r="G425" t="s">
        <v>675</v>
      </c>
      <c r="H425">
        <v>2.41</v>
      </c>
      <c r="I425">
        <v>2.68</v>
      </c>
      <c r="J425">
        <v>18.72</v>
      </c>
      <c r="K425">
        <v>0.86</v>
      </c>
      <c r="L425">
        <v>1</v>
      </c>
      <c r="M425">
        <v>6</v>
      </c>
      <c r="N425" t="s">
        <v>667</v>
      </c>
      <c r="O425">
        <v>0</v>
      </c>
      <c r="P425" t="s">
        <v>32</v>
      </c>
      <c r="Q425" t="s">
        <v>33</v>
      </c>
      <c r="R425">
        <v>-8.1</v>
      </c>
      <c r="S425">
        <v>21.7</v>
      </c>
      <c r="T425">
        <v>14.8</v>
      </c>
    </row>
    <row r="426" spans="1:20" x14ac:dyDescent="0.3">
      <c r="A426" t="s">
        <v>689</v>
      </c>
      <c r="B426">
        <v>500</v>
      </c>
      <c r="C426">
        <v>500</v>
      </c>
      <c r="D426">
        <v>0.76</v>
      </c>
      <c r="E426">
        <v>3078</v>
      </c>
      <c r="F426">
        <v>8</v>
      </c>
      <c r="G426" t="s">
        <v>690</v>
      </c>
      <c r="H426">
        <v>3.36</v>
      </c>
      <c r="I426">
        <v>0.43</v>
      </c>
      <c r="J426">
        <v>16.239999999999998</v>
      </c>
      <c r="K426">
        <v>0.94</v>
      </c>
      <c r="L426">
        <v>1.39</v>
      </c>
      <c r="M426">
        <v>6</v>
      </c>
      <c r="N426" t="s">
        <v>667</v>
      </c>
      <c r="O426">
        <v>0</v>
      </c>
      <c r="P426" t="s">
        <v>32</v>
      </c>
      <c r="Q426" t="s">
        <v>64</v>
      </c>
      <c r="R426">
        <v>2.2000000000000002</v>
      </c>
      <c r="S426">
        <v>26.5</v>
      </c>
      <c r="T426">
        <v>12</v>
      </c>
    </row>
    <row r="427" spans="1:20" x14ac:dyDescent="0.3">
      <c r="A427" t="s">
        <v>691</v>
      </c>
      <c r="B427">
        <v>150</v>
      </c>
      <c r="C427">
        <v>5000</v>
      </c>
      <c r="D427">
        <v>1.42</v>
      </c>
      <c r="E427">
        <v>950</v>
      </c>
      <c r="F427">
        <v>10</v>
      </c>
      <c r="G427" t="s">
        <v>679</v>
      </c>
      <c r="H427">
        <v>3.52</v>
      </c>
      <c r="I427">
        <v>9.44</v>
      </c>
      <c r="J427">
        <v>17.14</v>
      </c>
      <c r="K427">
        <v>0.63</v>
      </c>
      <c r="L427">
        <v>1.73</v>
      </c>
      <c r="M427">
        <v>6</v>
      </c>
      <c r="N427" t="s">
        <v>667</v>
      </c>
      <c r="O427">
        <v>3</v>
      </c>
      <c r="P427" t="s">
        <v>32</v>
      </c>
      <c r="Q427" t="s">
        <v>33</v>
      </c>
      <c r="R427">
        <v>14</v>
      </c>
      <c r="S427">
        <v>35</v>
      </c>
      <c r="T427">
        <v>13.1</v>
      </c>
    </row>
    <row r="428" spans="1:20" x14ac:dyDescent="0.3">
      <c r="A428" t="s">
        <v>692</v>
      </c>
      <c r="B428">
        <v>150</v>
      </c>
      <c r="C428">
        <v>5000</v>
      </c>
      <c r="D428">
        <v>0.89</v>
      </c>
      <c r="E428">
        <v>3680</v>
      </c>
      <c r="F428">
        <v>10</v>
      </c>
      <c r="G428" t="s">
        <v>686</v>
      </c>
      <c r="H428">
        <v>3.47</v>
      </c>
      <c r="I428">
        <v>2.58</v>
      </c>
      <c r="J428">
        <v>16.57</v>
      </c>
      <c r="K428">
        <v>0.94</v>
      </c>
      <c r="L428">
        <v>1.46</v>
      </c>
      <c r="M428">
        <v>6</v>
      </c>
      <c r="N428" t="s">
        <v>667</v>
      </c>
      <c r="O428">
        <v>4</v>
      </c>
      <c r="P428" t="s">
        <v>32</v>
      </c>
      <c r="Q428" t="s">
        <v>41</v>
      </c>
      <c r="R428">
        <v>8.8000000000000007</v>
      </c>
      <c r="S428">
        <v>33.5</v>
      </c>
      <c r="T428">
        <v>14</v>
      </c>
    </row>
    <row r="429" spans="1:20" x14ac:dyDescent="0.3">
      <c r="A429" t="s">
        <v>693</v>
      </c>
      <c r="B429">
        <v>150</v>
      </c>
      <c r="C429">
        <v>5000</v>
      </c>
      <c r="D429">
        <v>1.24</v>
      </c>
      <c r="E429">
        <v>1365</v>
      </c>
      <c r="F429">
        <v>10</v>
      </c>
      <c r="G429" t="s">
        <v>694</v>
      </c>
      <c r="H429">
        <v>3.05</v>
      </c>
      <c r="I429">
        <v>0.45</v>
      </c>
      <c r="J429">
        <v>16</v>
      </c>
      <c r="K429">
        <v>0.94</v>
      </c>
      <c r="L429">
        <v>1.35</v>
      </c>
      <c r="M429">
        <v>6</v>
      </c>
      <c r="N429" t="s">
        <v>667</v>
      </c>
      <c r="O429">
        <v>2</v>
      </c>
      <c r="P429" t="s">
        <v>32</v>
      </c>
      <c r="Q429" t="s">
        <v>47</v>
      </c>
      <c r="R429">
        <v>1.8</v>
      </c>
      <c r="S429">
        <v>25.7</v>
      </c>
      <c r="T429">
        <v>11.3</v>
      </c>
    </row>
    <row r="430" spans="1:20" x14ac:dyDescent="0.3">
      <c r="A430" t="s">
        <v>695</v>
      </c>
      <c r="B430">
        <v>150</v>
      </c>
      <c r="C430">
        <v>5000</v>
      </c>
      <c r="D430">
        <v>0.21</v>
      </c>
      <c r="E430">
        <v>18212</v>
      </c>
      <c r="F430">
        <v>10</v>
      </c>
      <c r="G430" t="s">
        <v>673</v>
      </c>
      <c r="H430">
        <v>4.25</v>
      </c>
      <c r="I430">
        <v>1.42</v>
      </c>
      <c r="J430">
        <v>0.38</v>
      </c>
      <c r="K430">
        <v>0.8</v>
      </c>
      <c r="L430">
        <v>0.93</v>
      </c>
      <c r="M430">
        <v>2</v>
      </c>
      <c r="N430" t="s">
        <v>667</v>
      </c>
      <c r="O430">
        <v>3</v>
      </c>
      <c r="P430" t="s">
        <v>34</v>
      </c>
      <c r="Q430" t="s">
        <v>51</v>
      </c>
      <c r="R430">
        <v>5.6</v>
      </c>
      <c r="S430">
        <v>4.4000000000000004</v>
      </c>
      <c r="T430">
        <v>5.3</v>
      </c>
    </row>
    <row r="431" spans="1:20" x14ac:dyDescent="0.3">
      <c r="A431" t="s">
        <v>696</v>
      </c>
      <c r="B431">
        <v>150</v>
      </c>
      <c r="C431">
        <v>5000</v>
      </c>
      <c r="D431">
        <v>0.98</v>
      </c>
      <c r="E431">
        <v>1759</v>
      </c>
      <c r="F431">
        <v>10</v>
      </c>
      <c r="G431" t="s">
        <v>697</v>
      </c>
      <c r="H431">
        <v>3.3</v>
      </c>
      <c r="I431">
        <v>0.16</v>
      </c>
      <c r="J431">
        <v>15.94</v>
      </c>
      <c r="K431">
        <v>0.87</v>
      </c>
      <c r="L431">
        <v>1.61</v>
      </c>
      <c r="M431">
        <v>6</v>
      </c>
      <c r="N431" t="s">
        <v>667</v>
      </c>
      <c r="O431">
        <v>3</v>
      </c>
      <c r="P431" t="s">
        <v>32</v>
      </c>
      <c r="Q431" t="s">
        <v>54</v>
      </c>
      <c r="R431">
        <v>1.3</v>
      </c>
      <c r="S431">
        <v>29.2</v>
      </c>
      <c r="T431">
        <v>13.5</v>
      </c>
    </row>
    <row r="432" spans="1:20" x14ac:dyDescent="0.3">
      <c r="A432" t="s">
        <v>698</v>
      </c>
      <c r="B432">
        <v>150</v>
      </c>
      <c r="C432">
        <v>5000</v>
      </c>
      <c r="D432">
        <v>0.17</v>
      </c>
      <c r="E432">
        <v>8814</v>
      </c>
      <c r="F432">
        <v>10</v>
      </c>
      <c r="G432" t="s">
        <v>673</v>
      </c>
      <c r="H432">
        <v>4.59</v>
      </c>
      <c r="I432">
        <v>2.92</v>
      </c>
      <c r="J432">
        <v>0.65</v>
      </c>
      <c r="K432">
        <v>1.18</v>
      </c>
      <c r="L432">
        <v>2.0499999999999998</v>
      </c>
      <c r="M432">
        <v>3</v>
      </c>
      <c r="N432" t="s">
        <v>667</v>
      </c>
      <c r="O432">
        <v>5</v>
      </c>
      <c r="P432" t="s">
        <v>34</v>
      </c>
      <c r="Q432" t="s">
        <v>55</v>
      </c>
      <c r="R432">
        <v>5.7</v>
      </c>
      <c r="S432">
        <v>5.6</v>
      </c>
      <c r="T432">
        <v>4.8</v>
      </c>
    </row>
    <row r="433" spans="1:20" x14ac:dyDescent="0.3">
      <c r="A433" t="s">
        <v>699</v>
      </c>
      <c r="B433">
        <v>150</v>
      </c>
      <c r="C433">
        <v>5000</v>
      </c>
      <c r="D433">
        <v>0.16</v>
      </c>
      <c r="E433">
        <v>369</v>
      </c>
      <c r="F433">
        <v>10</v>
      </c>
      <c r="G433" t="s">
        <v>671</v>
      </c>
      <c r="H433">
        <v>3.45</v>
      </c>
      <c r="I433">
        <v>-0.56000000000000005</v>
      </c>
      <c r="J433">
        <v>16.489999999999998</v>
      </c>
      <c r="K433">
        <v>0.98</v>
      </c>
      <c r="L433">
        <v>1.31</v>
      </c>
      <c r="M433">
        <v>6</v>
      </c>
      <c r="N433" t="s">
        <v>667</v>
      </c>
      <c r="O433">
        <v>3</v>
      </c>
      <c r="P433" t="s">
        <v>23</v>
      </c>
      <c r="Q433" t="s">
        <v>56</v>
      </c>
      <c r="R433">
        <v>1</v>
      </c>
      <c r="S433">
        <v>25.6</v>
      </c>
      <c r="T433">
        <v>12</v>
      </c>
    </row>
    <row r="434" spans="1:20" x14ac:dyDescent="0.3">
      <c r="A434" t="s">
        <v>700</v>
      </c>
      <c r="B434">
        <v>1000</v>
      </c>
      <c r="C434">
        <v>5000</v>
      </c>
      <c r="D434">
        <v>0.09</v>
      </c>
      <c r="E434">
        <v>3236</v>
      </c>
      <c r="F434">
        <v>4</v>
      </c>
      <c r="G434" t="s">
        <v>673</v>
      </c>
      <c r="H434">
        <v>-1.59</v>
      </c>
      <c r="I434">
        <v>0.47</v>
      </c>
      <c r="J434">
        <v>0.35</v>
      </c>
      <c r="K434">
        <v>0.43</v>
      </c>
      <c r="L434">
        <v>-0.3</v>
      </c>
      <c r="M434">
        <v>1</v>
      </c>
      <c r="N434" t="s">
        <v>667</v>
      </c>
      <c r="O434">
        <v>3</v>
      </c>
      <c r="P434" t="s">
        <v>34</v>
      </c>
      <c r="Q434" t="s">
        <v>57</v>
      </c>
      <c r="R434">
        <v>5.4</v>
      </c>
      <c r="S434">
        <v>3.9</v>
      </c>
    </row>
    <row r="435" spans="1:20" x14ac:dyDescent="0.3">
      <c r="A435" t="s">
        <v>701</v>
      </c>
      <c r="B435">
        <v>150</v>
      </c>
      <c r="C435">
        <v>5000</v>
      </c>
      <c r="D435">
        <v>0.91</v>
      </c>
      <c r="E435">
        <v>232</v>
      </c>
      <c r="F435">
        <v>7</v>
      </c>
      <c r="G435" t="s">
        <v>697</v>
      </c>
      <c r="H435">
        <v>2.48</v>
      </c>
      <c r="I435">
        <v>16.72</v>
      </c>
      <c r="J435">
        <v>20.36</v>
      </c>
      <c r="K435">
        <v>0.49</v>
      </c>
      <c r="L435">
        <v>1.44</v>
      </c>
      <c r="M435">
        <v>6</v>
      </c>
      <c r="N435" t="s">
        <v>667</v>
      </c>
      <c r="O435">
        <v>0</v>
      </c>
      <c r="P435" t="s">
        <v>32</v>
      </c>
      <c r="Q435" t="s">
        <v>33</v>
      </c>
      <c r="R435">
        <v>-3.4</v>
      </c>
      <c r="S435">
        <v>34.700000000000003</v>
      </c>
      <c r="T435">
        <v>15.5</v>
      </c>
    </row>
    <row r="436" spans="1:20" x14ac:dyDescent="0.3">
      <c r="A436" t="s">
        <v>702</v>
      </c>
      <c r="B436">
        <v>150</v>
      </c>
      <c r="C436">
        <v>5000</v>
      </c>
      <c r="D436">
        <v>0.68</v>
      </c>
      <c r="E436">
        <v>1557</v>
      </c>
      <c r="F436">
        <v>10</v>
      </c>
      <c r="G436" t="s">
        <v>703</v>
      </c>
      <c r="H436">
        <v>2.23</v>
      </c>
      <c r="I436">
        <v>0.12</v>
      </c>
      <c r="J436">
        <v>4.71</v>
      </c>
      <c r="K436">
        <v>0.72</v>
      </c>
      <c r="L436">
        <v>1.1200000000000001</v>
      </c>
      <c r="M436">
        <v>6</v>
      </c>
      <c r="N436" t="s">
        <v>667</v>
      </c>
      <c r="O436">
        <v>3</v>
      </c>
      <c r="P436" t="s">
        <v>29</v>
      </c>
      <c r="Q436" t="s">
        <v>60</v>
      </c>
      <c r="R436">
        <v>0.5</v>
      </c>
      <c r="S436">
        <v>19.3</v>
      </c>
      <c r="T436">
        <v>9.4</v>
      </c>
    </row>
    <row r="437" spans="1:20" x14ac:dyDescent="0.3">
      <c r="A437" t="s">
        <v>704</v>
      </c>
      <c r="B437">
        <v>1000</v>
      </c>
      <c r="C437">
        <v>5000</v>
      </c>
      <c r="D437">
        <v>1.66</v>
      </c>
      <c r="E437">
        <v>8.91</v>
      </c>
      <c r="F437">
        <v>10</v>
      </c>
      <c r="G437" t="s">
        <v>705</v>
      </c>
      <c r="H437">
        <v>2.12</v>
      </c>
      <c r="I437">
        <v>-0.23</v>
      </c>
      <c r="J437">
        <v>22.57</v>
      </c>
      <c r="K437">
        <v>0.87</v>
      </c>
      <c r="L437">
        <v>0.93</v>
      </c>
      <c r="M437">
        <v>6</v>
      </c>
      <c r="N437" t="s">
        <v>706</v>
      </c>
      <c r="O437">
        <v>4</v>
      </c>
      <c r="P437" t="s">
        <v>32</v>
      </c>
      <c r="Q437" t="s">
        <v>33</v>
      </c>
      <c r="R437">
        <v>9</v>
      </c>
      <c r="S437">
        <v>21.9</v>
      </c>
      <c r="T437">
        <v>11.9</v>
      </c>
    </row>
    <row r="438" spans="1:20" x14ac:dyDescent="0.3">
      <c r="A438" t="s">
        <v>707</v>
      </c>
      <c r="B438">
        <v>1000</v>
      </c>
      <c r="C438">
        <v>5000</v>
      </c>
      <c r="D438">
        <v>2.19</v>
      </c>
      <c r="E438">
        <v>74</v>
      </c>
      <c r="F438">
        <v>10</v>
      </c>
      <c r="G438" t="s">
        <v>705</v>
      </c>
      <c r="H438">
        <v>2.2799999999999998</v>
      </c>
      <c r="I438">
        <v>-5.29</v>
      </c>
      <c r="J438">
        <v>17.41</v>
      </c>
      <c r="K438">
        <v>0.93</v>
      </c>
      <c r="L438">
        <v>1.27</v>
      </c>
      <c r="M438">
        <v>6</v>
      </c>
      <c r="N438" t="s">
        <v>706</v>
      </c>
      <c r="O438">
        <v>3</v>
      </c>
      <c r="P438" t="s">
        <v>32</v>
      </c>
      <c r="Q438" t="s">
        <v>54</v>
      </c>
      <c r="R438">
        <v>3.6</v>
      </c>
      <c r="S438">
        <v>26.4</v>
      </c>
      <c r="T438">
        <v>10.9</v>
      </c>
    </row>
    <row r="439" spans="1:20" x14ac:dyDescent="0.3">
      <c r="A439" t="s">
        <v>708</v>
      </c>
      <c r="B439">
        <v>1000</v>
      </c>
      <c r="C439">
        <v>5000</v>
      </c>
      <c r="D439">
        <v>1.18</v>
      </c>
      <c r="E439">
        <v>84</v>
      </c>
      <c r="F439">
        <v>10</v>
      </c>
      <c r="G439" t="s">
        <v>709</v>
      </c>
      <c r="H439">
        <v>2.66</v>
      </c>
      <c r="I439">
        <v>0.83</v>
      </c>
      <c r="J439">
        <v>13.82</v>
      </c>
      <c r="K439">
        <v>0.73</v>
      </c>
      <c r="L439">
        <v>1.29</v>
      </c>
      <c r="M439">
        <v>6</v>
      </c>
      <c r="N439" t="s">
        <v>706</v>
      </c>
      <c r="O439">
        <v>0</v>
      </c>
      <c r="P439" t="s">
        <v>32</v>
      </c>
      <c r="Q439" t="s">
        <v>33</v>
      </c>
      <c r="R439">
        <v>-3.5</v>
      </c>
      <c r="S439">
        <v>22.3</v>
      </c>
      <c r="T439">
        <v>11.4</v>
      </c>
    </row>
    <row r="440" spans="1:20" x14ac:dyDescent="0.3">
      <c r="A440" t="s">
        <v>710</v>
      </c>
      <c r="B440">
        <v>1000</v>
      </c>
      <c r="C440">
        <v>5000</v>
      </c>
      <c r="D440">
        <v>2.59</v>
      </c>
      <c r="E440">
        <v>233</v>
      </c>
      <c r="F440">
        <v>10</v>
      </c>
      <c r="G440" t="s">
        <v>711</v>
      </c>
      <c r="H440">
        <v>1.69</v>
      </c>
      <c r="I440">
        <v>-4.83</v>
      </c>
      <c r="J440">
        <v>16.22</v>
      </c>
      <c r="K440">
        <v>0.91</v>
      </c>
      <c r="L440">
        <v>1.02</v>
      </c>
      <c r="M440">
        <v>6</v>
      </c>
      <c r="N440" t="s">
        <v>706</v>
      </c>
      <c r="O440">
        <v>1</v>
      </c>
      <c r="P440" t="s">
        <v>32</v>
      </c>
      <c r="Q440" t="s">
        <v>44</v>
      </c>
      <c r="R440">
        <v>-4.0999999999999996</v>
      </c>
      <c r="S440">
        <v>20.2</v>
      </c>
      <c r="T440">
        <v>5.4</v>
      </c>
    </row>
    <row r="441" spans="1:20" x14ac:dyDescent="0.3">
      <c r="A441" t="s">
        <v>712</v>
      </c>
      <c r="B441">
        <v>1000</v>
      </c>
      <c r="C441">
        <v>5000</v>
      </c>
      <c r="D441">
        <v>2.02</v>
      </c>
      <c r="E441">
        <v>5.12</v>
      </c>
      <c r="F441">
        <v>10</v>
      </c>
      <c r="G441" t="s">
        <v>713</v>
      </c>
      <c r="H441">
        <v>2.68</v>
      </c>
      <c r="I441">
        <v>3.64</v>
      </c>
      <c r="J441">
        <v>16.22</v>
      </c>
      <c r="K441">
        <v>0.56000000000000005</v>
      </c>
      <c r="L441">
        <v>1.32</v>
      </c>
      <c r="M441">
        <v>6</v>
      </c>
      <c r="N441" t="s">
        <v>706</v>
      </c>
      <c r="O441">
        <v>3</v>
      </c>
      <c r="P441" t="s">
        <v>32</v>
      </c>
      <c r="Q441" t="s">
        <v>33</v>
      </c>
      <c r="R441">
        <v>-0.7</v>
      </c>
      <c r="S441">
        <v>25.3</v>
      </c>
      <c r="T441">
        <v>8.9</v>
      </c>
    </row>
    <row r="442" spans="1:20" x14ac:dyDescent="0.3">
      <c r="A442" t="s">
        <v>714</v>
      </c>
      <c r="B442">
        <v>1000</v>
      </c>
      <c r="C442">
        <v>5000</v>
      </c>
      <c r="D442">
        <v>0.44</v>
      </c>
      <c r="E442">
        <v>30</v>
      </c>
      <c r="F442">
        <v>10</v>
      </c>
      <c r="G442" t="s">
        <v>711</v>
      </c>
      <c r="H442">
        <v>1.64</v>
      </c>
      <c r="I442">
        <v>-5.6</v>
      </c>
      <c r="J442">
        <v>17.239999999999998</v>
      </c>
      <c r="K442">
        <v>0.96</v>
      </c>
      <c r="L442">
        <v>0.94</v>
      </c>
      <c r="M442">
        <v>6</v>
      </c>
      <c r="N442" t="s">
        <v>706</v>
      </c>
      <c r="O442">
        <v>1</v>
      </c>
      <c r="P442" t="s">
        <v>32</v>
      </c>
      <c r="Q442" t="s">
        <v>47</v>
      </c>
      <c r="R442">
        <v>-2.5</v>
      </c>
      <c r="S442">
        <v>19.5</v>
      </c>
      <c r="T442">
        <v>7.6</v>
      </c>
    </row>
    <row r="443" spans="1:20" x14ac:dyDescent="0.3">
      <c r="A443" t="s">
        <v>715</v>
      </c>
      <c r="B443">
        <v>1000</v>
      </c>
      <c r="C443">
        <v>5000</v>
      </c>
      <c r="D443">
        <v>0.44</v>
      </c>
      <c r="E443">
        <v>2.38</v>
      </c>
      <c r="F443">
        <v>10</v>
      </c>
      <c r="G443" t="s">
        <v>716</v>
      </c>
      <c r="H443">
        <v>3.29</v>
      </c>
      <c r="I443">
        <v>-0.33</v>
      </c>
      <c r="J443">
        <v>16.420000000000002</v>
      </c>
      <c r="K443">
        <v>0.98</v>
      </c>
      <c r="L443">
        <v>1.33</v>
      </c>
      <c r="M443">
        <v>6</v>
      </c>
      <c r="N443" t="s">
        <v>706</v>
      </c>
      <c r="O443">
        <v>0</v>
      </c>
      <c r="P443" t="s">
        <v>23</v>
      </c>
      <c r="Q443" t="s">
        <v>56</v>
      </c>
      <c r="R443">
        <v>1.2</v>
      </c>
      <c r="S443">
        <v>25.8</v>
      </c>
      <c r="T443">
        <v>12.3</v>
      </c>
    </row>
    <row r="444" spans="1:20" x14ac:dyDescent="0.3">
      <c r="A444" t="s">
        <v>717</v>
      </c>
      <c r="B444">
        <v>500</v>
      </c>
      <c r="C444">
        <v>500</v>
      </c>
      <c r="D444">
        <v>1.73</v>
      </c>
      <c r="E444">
        <v>59</v>
      </c>
      <c r="F444">
        <v>10</v>
      </c>
      <c r="G444" t="s">
        <v>716</v>
      </c>
      <c r="H444">
        <v>2.62</v>
      </c>
      <c r="I444">
        <v>2.15</v>
      </c>
      <c r="J444">
        <v>13.7</v>
      </c>
      <c r="K444">
        <v>0.76</v>
      </c>
      <c r="L444">
        <v>1.47</v>
      </c>
      <c r="M444">
        <v>6</v>
      </c>
      <c r="N444" t="s">
        <v>706</v>
      </c>
      <c r="O444">
        <v>3</v>
      </c>
      <c r="P444" t="s">
        <v>32</v>
      </c>
      <c r="Q444" t="s">
        <v>64</v>
      </c>
      <c r="R444">
        <v>6.8</v>
      </c>
      <c r="S444">
        <v>24.4</v>
      </c>
      <c r="T444">
        <v>10.6</v>
      </c>
    </row>
    <row r="445" spans="1:20" x14ac:dyDescent="0.3">
      <c r="A445" t="s">
        <v>718</v>
      </c>
      <c r="B445">
        <v>500</v>
      </c>
      <c r="C445">
        <v>5000</v>
      </c>
      <c r="D445">
        <v>1.3</v>
      </c>
      <c r="E445">
        <v>1350</v>
      </c>
      <c r="F445">
        <v>10</v>
      </c>
      <c r="G445" t="s">
        <v>177</v>
      </c>
      <c r="H445">
        <v>3.87</v>
      </c>
      <c r="I445">
        <v>13.72</v>
      </c>
      <c r="J445">
        <v>13.41</v>
      </c>
      <c r="K445">
        <v>0.7</v>
      </c>
      <c r="L445">
        <v>2.2599999999999998</v>
      </c>
      <c r="M445">
        <v>6</v>
      </c>
      <c r="N445" t="s">
        <v>173</v>
      </c>
      <c r="O445">
        <v>0</v>
      </c>
      <c r="P445" t="s">
        <v>32</v>
      </c>
      <c r="Q445" t="s">
        <v>39</v>
      </c>
      <c r="R445">
        <v>8.3000000000000007</v>
      </c>
      <c r="S445">
        <v>37.700000000000003</v>
      </c>
      <c r="T445">
        <v>14.5</v>
      </c>
    </row>
    <row r="446" spans="1:20" x14ac:dyDescent="0.3">
      <c r="A446" t="s">
        <v>719</v>
      </c>
      <c r="B446">
        <v>500</v>
      </c>
      <c r="C446">
        <v>5000</v>
      </c>
      <c r="D446">
        <v>0.91</v>
      </c>
      <c r="E446">
        <v>845</v>
      </c>
      <c r="F446">
        <v>10</v>
      </c>
      <c r="G446" t="s">
        <v>177</v>
      </c>
      <c r="H446">
        <v>3.73</v>
      </c>
      <c r="I446">
        <v>10.68</v>
      </c>
      <c r="J446">
        <v>18.7</v>
      </c>
      <c r="K446">
        <v>0.98</v>
      </c>
      <c r="L446">
        <v>1.76</v>
      </c>
      <c r="M446">
        <v>6</v>
      </c>
      <c r="N446" t="s">
        <v>173</v>
      </c>
      <c r="O446">
        <v>3</v>
      </c>
      <c r="P446" t="s">
        <v>32</v>
      </c>
      <c r="Q446" t="s">
        <v>58</v>
      </c>
      <c r="R446">
        <v>13.1</v>
      </c>
      <c r="S446">
        <v>39.4</v>
      </c>
      <c r="T446">
        <v>12.3</v>
      </c>
    </row>
    <row r="447" spans="1:20" x14ac:dyDescent="0.3">
      <c r="A447" t="s">
        <v>720</v>
      </c>
      <c r="B447">
        <v>1000</v>
      </c>
      <c r="C447">
        <v>1000</v>
      </c>
      <c r="D447">
        <v>0.21</v>
      </c>
      <c r="E447">
        <v>345</v>
      </c>
      <c r="F447">
        <v>2</v>
      </c>
      <c r="G447" t="s">
        <v>721</v>
      </c>
      <c r="H447" t="s">
        <v>36</v>
      </c>
      <c r="I447" t="s">
        <v>36</v>
      </c>
      <c r="J447" t="s">
        <v>36</v>
      </c>
      <c r="K447" t="s">
        <v>36</v>
      </c>
      <c r="L447" t="s">
        <v>36</v>
      </c>
      <c r="M447">
        <v>3</v>
      </c>
      <c r="N447" t="s">
        <v>722</v>
      </c>
      <c r="O447">
        <v>2</v>
      </c>
      <c r="P447" t="s">
        <v>34</v>
      </c>
      <c r="Q447" t="s">
        <v>35</v>
      </c>
      <c r="R447">
        <v>3</v>
      </c>
    </row>
    <row r="448" spans="1:20" x14ac:dyDescent="0.3">
      <c r="A448" t="s">
        <v>723</v>
      </c>
      <c r="B448">
        <v>1000</v>
      </c>
      <c r="C448">
        <v>1000</v>
      </c>
      <c r="D448">
        <v>0.1</v>
      </c>
      <c r="E448">
        <v>205</v>
      </c>
      <c r="F448">
        <v>2</v>
      </c>
      <c r="G448" t="s">
        <v>721</v>
      </c>
      <c r="H448" t="s">
        <v>36</v>
      </c>
      <c r="I448" t="s">
        <v>36</v>
      </c>
      <c r="J448" t="s">
        <v>36</v>
      </c>
      <c r="K448" t="s">
        <v>36</v>
      </c>
      <c r="L448" t="s">
        <v>36</v>
      </c>
      <c r="M448">
        <v>2</v>
      </c>
      <c r="N448" t="s">
        <v>722</v>
      </c>
      <c r="O448">
        <v>2</v>
      </c>
      <c r="P448" t="s">
        <v>34</v>
      </c>
      <c r="Q448" t="s">
        <v>51</v>
      </c>
      <c r="R448">
        <v>5.6</v>
      </c>
    </row>
    <row r="449" spans="1:20" x14ac:dyDescent="0.3">
      <c r="A449" t="s">
        <v>724</v>
      </c>
      <c r="B449">
        <v>1000</v>
      </c>
      <c r="C449">
        <v>1000</v>
      </c>
      <c r="D449">
        <v>0.23</v>
      </c>
      <c r="E449">
        <v>94</v>
      </c>
      <c r="F449">
        <v>2</v>
      </c>
      <c r="G449" t="s">
        <v>721</v>
      </c>
      <c r="H449" t="s">
        <v>36</v>
      </c>
      <c r="I449" t="s">
        <v>36</v>
      </c>
      <c r="J449" t="s">
        <v>36</v>
      </c>
      <c r="K449" t="s">
        <v>36</v>
      </c>
      <c r="L449" t="s">
        <v>36</v>
      </c>
      <c r="M449">
        <v>2</v>
      </c>
      <c r="N449" t="s">
        <v>722</v>
      </c>
      <c r="O449">
        <v>2</v>
      </c>
      <c r="P449" t="s">
        <v>34</v>
      </c>
      <c r="Q449" t="s">
        <v>62</v>
      </c>
      <c r="R449">
        <v>4.2</v>
      </c>
    </row>
    <row r="450" spans="1:20" x14ac:dyDescent="0.3">
      <c r="A450" t="s">
        <v>725</v>
      </c>
      <c r="B450">
        <v>500</v>
      </c>
      <c r="C450">
        <v>1000</v>
      </c>
      <c r="D450">
        <v>0.44</v>
      </c>
      <c r="E450">
        <v>72</v>
      </c>
      <c r="F450">
        <v>4</v>
      </c>
      <c r="G450" t="s">
        <v>726</v>
      </c>
      <c r="H450">
        <v>0.98</v>
      </c>
      <c r="I450">
        <v>1.51</v>
      </c>
      <c r="J450">
        <v>0.73</v>
      </c>
      <c r="K450">
        <v>0.79</v>
      </c>
      <c r="L450">
        <v>0.63</v>
      </c>
      <c r="M450">
        <v>1</v>
      </c>
      <c r="N450" t="s">
        <v>727</v>
      </c>
      <c r="O450">
        <v>3</v>
      </c>
      <c r="P450" t="s">
        <v>27</v>
      </c>
      <c r="Q450" t="s">
        <v>28</v>
      </c>
      <c r="R450">
        <v>5</v>
      </c>
      <c r="S450">
        <v>4.4000000000000004</v>
      </c>
    </row>
    <row r="451" spans="1:20" x14ac:dyDescent="0.3">
      <c r="A451" t="s">
        <v>728</v>
      </c>
      <c r="B451">
        <v>500</v>
      </c>
      <c r="C451">
        <v>1000</v>
      </c>
      <c r="D451">
        <v>0.94</v>
      </c>
      <c r="E451">
        <v>1679</v>
      </c>
      <c r="F451">
        <v>5</v>
      </c>
      <c r="G451" t="s">
        <v>729</v>
      </c>
      <c r="H451">
        <v>4.24</v>
      </c>
      <c r="I451">
        <v>1.73</v>
      </c>
      <c r="J451">
        <v>9.99</v>
      </c>
      <c r="K451">
        <v>0.64</v>
      </c>
      <c r="L451">
        <v>1.36</v>
      </c>
      <c r="M451">
        <v>3</v>
      </c>
      <c r="N451" t="s">
        <v>727</v>
      </c>
      <c r="O451">
        <v>3</v>
      </c>
      <c r="P451" t="s">
        <v>27</v>
      </c>
      <c r="Q451" t="s">
        <v>31</v>
      </c>
      <c r="R451">
        <v>3.6</v>
      </c>
      <c r="S451">
        <v>18.3</v>
      </c>
      <c r="T451">
        <v>10.199999999999999</v>
      </c>
    </row>
    <row r="452" spans="1:20" x14ac:dyDescent="0.3">
      <c r="A452" t="s">
        <v>730</v>
      </c>
      <c r="B452">
        <v>1000</v>
      </c>
      <c r="C452">
        <v>1000</v>
      </c>
      <c r="D452">
        <v>0.45</v>
      </c>
      <c r="E452">
        <v>390</v>
      </c>
      <c r="F452">
        <v>5</v>
      </c>
      <c r="G452" t="s">
        <v>729</v>
      </c>
      <c r="H452">
        <v>1.07</v>
      </c>
      <c r="I452">
        <v>1.1000000000000001</v>
      </c>
      <c r="J452">
        <v>2.21</v>
      </c>
      <c r="K452">
        <v>0.85</v>
      </c>
      <c r="L452">
        <v>0.6</v>
      </c>
      <c r="M452">
        <v>2</v>
      </c>
      <c r="N452" t="s">
        <v>727</v>
      </c>
      <c r="O452">
        <v>2</v>
      </c>
      <c r="P452" t="s">
        <v>34</v>
      </c>
      <c r="Q452" t="s">
        <v>37</v>
      </c>
      <c r="R452">
        <v>3.1</v>
      </c>
      <c r="S452">
        <v>6.2</v>
      </c>
    </row>
    <row r="453" spans="1:20" x14ac:dyDescent="0.3">
      <c r="A453" t="s">
        <v>731</v>
      </c>
      <c r="B453">
        <v>1000</v>
      </c>
      <c r="C453">
        <v>1000</v>
      </c>
      <c r="D453">
        <v>1.29</v>
      </c>
      <c r="E453">
        <v>92</v>
      </c>
      <c r="F453">
        <v>10</v>
      </c>
      <c r="G453" t="s">
        <v>729</v>
      </c>
      <c r="H453">
        <v>0.05</v>
      </c>
      <c r="I453">
        <v>-0.28999999999999998</v>
      </c>
      <c r="J453">
        <v>2.89</v>
      </c>
      <c r="K453">
        <v>1.41</v>
      </c>
      <c r="L453">
        <v>0.04</v>
      </c>
      <c r="M453">
        <v>3</v>
      </c>
      <c r="N453" t="s">
        <v>727</v>
      </c>
      <c r="O453">
        <v>1</v>
      </c>
      <c r="P453" t="s">
        <v>34</v>
      </c>
      <c r="Q453" t="s">
        <v>40</v>
      </c>
      <c r="R453">
        <v>2.6</v>
      </c>
      <c r="S453">
        <v>4.7</v>
      </c>
      <c r="T453">
        <v>6</v>
      </c>
    </row>
    <row r="454" spans="1:20" x14ac:dyDescent="0.3">
      <c r="A454" t="s">
        <v>732</v>
      </c>
      <c r="B454">
        <v>500</v>
      </c>
      <c r="C454">
        <v>1000</v>
      </c>
      <c r="D454">
        <v>1.47</v>
      </c>
      <c r="E454">
        <v>133</v>
      </c>
      <c r="F454">
        <v>5</v>
      </c>
      <c r="G454" t="s">
        <v>733</v>
      </c>
      <c r="H454">
        <v>3</v>
      </c>
      <c r="I454">
        <v>0.32</v>
      </c>
      <c r="J454">
        <v>5.85</v>
      </c>
      <c r="K454">
        <v>0.91</v>
      </c>
      <c r="L454">
        <v>1.17</v>
      </c>
      <c r="M454">
        <v>3</v>
      </c>
      <c r="N454" t="s">
        <v>727</v>
      </c>
      <c r="O454">
        <v>2</v>
      </c>
      <c r="P454" t="s">
        <v>27</v>
      </c>
      <c r="Q454" t="s">
        <v>43</v>
      </c>
      <c r="R454">
        <v>2</v>
      </c>
      <c r="S454">
        <v>10.8</v>
      </c>
    </row>
    <row r="455" spans="1:20" x14ac:dyDescent="0.3">
      <c r="A455" t="s">
        <v>734</v>
      </c>
      <c r="B455">
        <v>500</v>
      </c>
      <c r="C455">
        <v>1000</v>
      </c>
      <c r="D455">
        <v>1.06</v>
      </c>
      <c r="E455">
        <v>1337</v>
      </c>
      <c r="F455">
        <v>10</v>
      </c>
      <c r="G455" t="s">
        <v>733</v>
      </c>
      <c r="H455">
        <v>3.37</v>
      </c>
      <c r="I455">
        <v>1.28</v>
      </c>
      <c r="J455">
        <v>16.05</v>
      </c>
      <c r="K455">
        <v>0.92</v>
      </c>
      <c r="L455">
        <v>1.43</v>
      </c>
      <c r="M455">
        <v>6</v>
      </c>
      <c r="N455" t="s">
        <v>727</v>
      </c>
      <c r="O455">
        <v>4</v>
      </c>
      <c r="P455" t="s">
        <v>32</v>
      </c>
      <c r="Q455" t="s">
        <v>44</v>
      </c>
      <c r="R455">
        <v>0.6</v>
      </c>
      <c r="S455">
        <v>27.7</v>
      </c>
      <c r="T455">
        <v>12.9</v>
      </c>
    </row>
    <row r="456" spans="1:20" x14ac:dyDescent="0.3">
      <c r="A456" t="s">
        <v>735</v>
      </c>
      <c r="B456">
        <v>500</v>
      </c>
      <c r="C456">
        <v>1000</v>
      </c>
      <c r="D456">
        <v>1.57</v>
      </c>
      <c r="E456">
        <v>317</v>
      </c>
      <c r="F456">
        <v>4</v>
      </c>
      <c r="G456" t="s">
        <v>736</v>
      </c>
      <c r="H456">
        <v>3.33</v>
      </c>
      <c r="I456">
        <v>1.82</v>
      </c>
      <c r="J456">
        <v>15.14</v>
      </c>
      <c r="K456">
        <v>0.85</v>
      </c>
      <c r="L456">
        <v>1.44</v>
      </c>
      <c r="M456">
        <v>6</v>
      </c>
      <c r="N456" t="s">
        <v>727</v>
      </c>
      <c r="O456">
        <v>4</v>
      </c>
      <c r="P456" t="s">
        <v>32</v>
      </c>
      <c r="Q456" t="s">
        <v>46</v>
      </c>
      <c r="R456">
        <v>-0.1</v>
      </c>
      <c r="S456">
        <v>26.2</v>
      </c>
    </row>
    <row r="457" spans="1:20" x14ac:dyDescent="0.3">
      <c r="A457" t="s">
        <v>737</v>
      </c>
      <c r="B457">
        <v>500</v>
      </c>
      <c r="C457">
        <v>1000</v>
      </c>
      <c r="D457">
        <v>1.2</v>
      </c>
      <c r="E457">
        <v>396</v>
      </c>
      <c r="F457">
        <v>3</v>
      </c>
      <c r="G457" t="s">
        <v>733</v>
      </c>
      <c r="H457">
        <v>2.94</v>
      </c>
      <c r="I457">
        <v>2.2599999999999998</v>
      </c>
      <c r="J457">
        <v>16.600000000000001</v>
      </c>
      <c r="K457">
        <v>0.93</v>
      </c>
      <c r="L457">
        <v>1.42</v>
      </c>
      <c r="M457">
        <v>6</v>
      </c>
      <c r="N457" t="s">
        <v>727</v>
      </c>
      <c r="O457">
        <v>3</v>
      </c>
      <c r="P457" t="s">
        <v>32</v>
      </c>
      <c r="Q457" t="s">
        <v>41</v>
      </c>
      <c r="R457">
        <v>0.7</v>
      </c>
      <c r="S457">
        <v>27.6</v>
      </c>
    </row>
    <row r="458" spans="1:20" x14ac:dyDescent="0.3">
      <c r="A458" t="s">
        <v>738</v>
      </c>
      <c r="B458">
        <v>1000</v>
      </c>
      <c r="C458">
        <v>1000</v>
      </c>
      <c r="D458">
        <v>1.8</v>
      </c>
      <c r="E458">
        <v>230</v>
      </c>
      <c r="F458">
        <v>6</v>
      </c>
      <c r="G458" t="s">
        <v>736</v>
      </c>
      <c r="H458">
        <v>3.13</v>
      </c>
      <c r="I458">
        <v>-1.55</v>
      </c>
      <c r="J458">
        <v>16.41</v>
      </c>
      <c r="K458">
        <v>0.97</v>
      </c>
      <c r="L458">
        <v>1.24</v>
      </c>
      <c r="M458">
        <v>6</v>
      </c>
      <c r="N458" t="s">
        <v>727</v>
      </c>
      <c r="O458">
        <v>2</v>
      </c>
      <c r="P458" t="s">
        <v>32</v>
      </c>
      <c r="Q458" t="s">
        <v>47</v>
      </c>
      <c r="R458">
        <v>0.1</v>
      </c>
      <c r="S458">
        <v>24.3</v>
      </c>
      <c r="T458">
        <v>9.9</v>
      </c>
    </row>
    <row r="459" spans="1:20" x14ac:dyDescent="0.3">
      <c r="A459" t="s">
        <v>739</v>
      </c>
      <c r="B459">
        <v>2000</v>
      </c>
      <c r="C459">
        <v>5000</v>
      </c>
      <c r="D459">
        <v>7.0000000000000007E-2</v>
      </c>
      <c r="E459">
        <v>1688</v>
      </c>
      <c r="F459">
        <v>10</v>
      </c>
      <c r="G459" t="s">
        <v>740</v>
      </c>
      <c r="H459">
        <v>5.48</v>
      </c>
      <c r="I459">
        <v>1.4</v>
      </c>
      <c r="J459">
        <v>0.38</v>
      </c>
      <c r="K459">
        <v>0.76</v>
      </c>
      <c r="L459">
        <v>1</v>
      </c>
      <c r="M459">
        <v>2</v>
      </c>
      <c r="N459" t="s">
        <v>727</v>
      </c>
      <c r="O459">
        <v>4</v>
      </c>
      <c r="P459" t="s">
        <v>34</v>
      </c>
      <c r="Q459" t="s">
        <v>51</v>
      </c>
      <c r="R459">
        <v>5.7</v>
      </c>
      <c r="S459">
        <v>4.4000000000000004</v>
      </c>
      <c r="T459">
        <v>4.5999999999999996</v>
      </c>
    </row>
    <row r="460" spans="1:20" x14ac:dyDescent="0.3">
      <c r="A460" t="s">
        <v>741</v>
      </c>
      <c r="B460">
        <v>500</v>
      </c>
      <c r="C460">
        <v>500</v>
      </c>
      <c r="D460">
        <v>1.62</v>
      </c>
      <c r="E460">
        <v>573</v>
      </c>
      <c r="F460">
        <v>10</v>
      </c>
      <c r="G460" t="s">
        <v>733</v>
      </c>
      <c r="H460">
        <v>3.97</v>
      </c>
      <c r="I460">
        <v>2.09</v>
      </c>
      <c r="J460">
        <v>15.89</v>
      </c>
      <c r="K460">
        <v>0.92</v>
      </c>
      <c r="L460">
        <v>1.49</v>
      </c>
      <c r="M460">
        <v>6</v>
      </c>
      <c r="N460" t="s">
        <v>727</v>
      </c>
      <c r="O460">
        <v>4</v>
      </c>
      <c r="P460" t="s">
        <v>32</v>
      </c>
      <c r="Q460" t="s">
        <v>64</v>
      </c>
      <c r="R460">
        <v>2.2999999999999998</v>
      </c>
      <c r="S460">
        <v>28.5</v>
      </c>
      <c r="T460">
        <v>12.8</v>
      </c>
    </row>
    <row r="461" spans="1:20" x14ac:dyDescent="0.3">
      <c r="A461" t="s">
        <v>742</v>
      </c>
      <c r="B461">
        <v>500</v>
      </c>
      <c r="C461">
        <v>1000</v>
      </c>
      <c r="D461">
        <v>0.64</v>
      </c>
      <c r="E461">
        <v>170</v>
      </c>
      <c r="F461">
        <v>3</v>
      </c>
      <c r="G461" t="s">
        <v>729</v>
      </c>
      <c r="H461" t="s">
        <v>36</v>
      </c>
      <c r="I461" t="s">
        <v>36</v>
      </c>
      <c r="J461" t="s">
        <v>36</v>
      </c>
      <c r="K461" t="s">
        <v>36</v>
      </c>
      <c r="L461" t="s">
        <v>36</v>
      </c>
      <c r="M461">
        <v>3</v>
      </c>
      <c r="N461" t="s">
        <v>727</v>
      </c>
      <c r="O461">
        <v>2</v>
      </c>
      <c r="P461" t="s">
        <v>34</v>
      </c>
      <c r="Q461" t="s">
        <v>53</v>
      </c>
      <c r="R461">
        <v>2.2999999999999998</v>
      </c>
    </row>
    <row r="462" spans="1:20" x14ac:dyDescent="0.3">
      <c r="A462" t="s">
        <v>743</v>
      </c>
      <c r="B462">
        <v>2000</v>
      </c>
      <c r="C462">
        <v>5000</v>
      </c>
      <c r="D462">
        <v>0.24</v>
      </c>
      <c r="E462">
        <v>144</v>
      </c>
      <c r="F462">
        <v>2</v>
      </c>
      <c r="G462" t="s">
        <v>729</v>
      </c>
      <c r="H462" t="s">
        <v>36</v>
      </c>
      <c r="I462" t="s">
        <v>36</v>
      </c>
      <c r="J462" t="s">
        <v>36</v>
      </c>
      <c r="K462" t="s">
        <v>36</v>
      </c>
      <c r="L462" t="s">
        <v>36</v>
      </c>
      <c r="M462">
        <v>2</v>
      </c>
      <c r="N462" t="s">
        <v>727</v>
      </c>
      <c r="O462">
        <v>3</v>
      </c>
      <c r="P462" t="s">
        <v>34</v>
      </c>
      <c r="Q462" t="s">
        <v>55</v>
      </c>
      <c r="R462">
        <v>5.4</v>
      </c>
    </row>
    <row r="463" spans="1:20" x14ac:dyDescent="0.3">
      <c r="A463" t="s">
        <v>744</v>
      </c>
      <c r="B463">
        <v>2000</v>
      </c>
      <c r="C463">
        <v>5000</v>
      </c>
      <c r="D463">
        <v>0.08</v>
      </c>
      <c r="E463">
        <v>158</v>
      </c>
      <c r="F463">
        <v>4</v>
      </c>
      <c r="G463" t="s">
        <v>740</v>
      </c>
      <c r="H463">
        <v>-0.18</v>
      </c>
      <c r="I463">
        <v>0.55000000000000004</v>
      </c>
      <c r="J463">
        <v>0.35</v>
      </c>
      <c r="K463">
        <v>0.42</v>
      </c>
      <c r="L463">
        <v>-0.04</v>
      </c>
      <c r="M463">
        <v>1</v>
      </c>
      <c r="N463" t="s">
        <v>727</v>
      </c>
      <c r="O463">
        <v>3</v>
      </c>
      <c r="P463" t="s">
        <v>34</v>
      </c>
      <c r="Q463" t="s">
        <v>57</v>
      </c>
      <c r="R463">
        <v>5.4</v>
      </c>
      <c r="S463">
        <v>3.9</v>
      </c>
    </row>
    <row r="464" spans="1:20" x14ac:dyDescent="0.3">
      <c r="A464" t="s">
        <v>745</v>
      </c>
      <c r="B464">
        <v>500</v>
      </c>
      <c r="C464">
        <v>1000</v>
      </c>
      <c r="D464">
        <v>1.35</v>
      </c>
      <c r="E464">
        <v>710</v>
      </c>
      <c r="F464">
        <v>9</v>
      </c>
      <c r="G464" t="s">
        <v>736</v>
      </c>
      <c r="H464">
        <v>3.63</v>
      </c>
      <c r="I464">
        <v>5.81</v>
      </c>
      <c r="J464">
        <v>17.48</v>
      </c>
      <c r="K464">
        <v>0.75</v>
      </c>
      <c r="L464">
        <v>1.77</v>
      </c>
      <c r="M464">
        <v>6</v>
      </c>
      <c r="N464" t="s">
        <v>727</v>
      </c>
      <c r="O464">
        <v>3</v>
      </c>
      <c r="P464" t="s">
        <v>32</v>
      </c>
      <c r="Q464" t="s">
        <v>63</v>
      </c>
      <c r="R464">
        <v>-0.1</v>
      </c>
      <c r="S464">
        <v>37.1</v>
      </c>
      <c r="T464">
        <v>12.8</v>
      </c>
    </row>
    <row r="465" spans="1:20" x14ac:dyDescent="0.3">
      <c r="A465" t="s">
        <v>746</v>
      </c>
      <c r="B465">
        <v>500</v>
      </c>
      <c r="C465">
        <v>1000</v>
      </c>
      <c r="D465">
        <v>1.59</v>
      </c>
      <c r="E465">
        <v>144</v>
      </c>
      <c r="F465">
        <v>4</v>
      </c>
      <c r="G465" t="s">
        <v>733</v>
      </c>
      <c r="H465">
        <v>4.01</v>
      </c>
      <c r="I465">
        <v>2.11</v>
      </c>
      <c r="J465">
        <v>17.21</v>
      </c>
      <c r="K465">
        <v>0.99</v>
      </c>
      <c r="L465">
        <v>1.43</v>
      </c>
      <c r="M465">
        <v>6</v>
      </c>
      <c r="N465" t="s">
        <v>727</v>
      </c>
      <c r="O465">
        <v>3</v>
      </c>
      <c r="P465" t="s">
        <v>32</v>
      </c>
      <c r="Q465" t="s">
        <v>58</v>
      </c>
      <c r="R465">
        <v>2.9</v>
      </c>
      <c r="S465">
        <v>29.7</v>
      </c>
    </row>
    <row r="466" spans="1:20" x14ac:dyDescent="0.3">
      <c r="A466" t="s">
        <v>747</v>
      </c>
      <c r="B466">
        <v>500</v>
      </c>
      <c r="C466">
        <v>5000</v>
      </c>
      <c r="D466">
        <v>0.34</v>
      </c>
      <c r="E466">
        <v>3532</v>
      </c>
      <c r="F466">
        <v>10</v>
      </c>
      <c r="G466" t="s">
        <v>748</v>
      </c>
      <c r="H466">
        <v>1.45</v>
      </c>
      <c r="I466">
        <v>1.42</v>
      </c>
      <c r="J466">
        <v>0.68</v>
      </c>
      <c r="K466">
        <v>0.5</v>
      </c>
      <c r="L466">
        <v>1.1100000000000001</v>
      </c>
      <c r="M466">
        <v>1</v>
      </c>
      <c r="N466" t="s">
        <v>749</v>
      </c>
      <c r="O466">
        <v>3</v>
      </c>
      <c r="P466" t="s">
        <v>27</v>
      </c>
      <c r="Q466" t="s">
        <v>28</v>
      </c>
      <c r="R466">
        <v>5.4</v>
      </c>
      <c r="S466">
        <v>4.7</v>
      </c>
      <c r="T466">
        <v>5.5</v>
      </c>
    </row>
    <row r="467" spans="1:20" x14ac:dyDescent="0.3">
      <c r="A467" t="s">
        <v>750</v>
      </c>
      <c r="B467">
        <v>500</v>
      </c>
      <c r="C467">
        <v>500</v>
      </c>
      <c r="D467">
        <v>0.24</v>
      </c>
      <c r="E467">
        <v>524</v>
      </c>
      <c r="F467">
        <v>9</v>
      </c>
      <c r="G467" t="s">
        <v>751</v>
      </c>
      <c r="H467">
        <v>3.32</v>
      </c>
      <c r="I467">
        <v>1.2</v>
      </c>
      <c r="J467">
        <v>3.44</v>
      </c>
      <c r="K467">
        <v>-1.51</v>
      </c>
      <c r="L467">
        <v>0.94</v>
      </c>
      <c r="M467">
        <v>3</v>
      </c>
      <c r="N467" t="s">
        <v>749</v>
      </c>
      <c r="O467">
        <v>1</v>
      </c>
      <c r="P467" t="s">
        <v>34</v>
      </c>
      <c r="Q467" t="s">
        <v>35</v>
      </c>
      <c r="R467">
        <v>11</v>
      </c>
      <c r="S467">
        <v>7.9</v>
      </c>
      <c r="T467">
        <v>5.6</v>
      </c>
    </row>
    <row r="468" spans="1:20" x14ac:dyDescent="0.3">
      <c r="A468" t="s">
        <v>752</v>
      </c>
      <c r="B468">
        <v>500</v>
      </c>
      <c r="C468">
        <v>5000</v>
      </c>
      <c r="D468">
        <v>1.39</v>
      </c>
      <c r="E468">
        <v>824</v>
      </c>
      <c r="F468">
        <v>10</v>
      </c>
      <c r="G468" t="s">
        <v>753</v>
      </c>
      <c r="H468">
        <v>2.17</v>
      </c>
      <c r="I468">
        <v>1.05</v>
      </c>
      <c r="J468">
        <v>24.46</v>
      </c>
      <c r="K468">
        <v>0.94</v>
      </c>
      <c r="L468">
        <v>0.98</v>
      </c>
      <c r="M468">
        <v>6</v>
      </c>
      <c r="N468" t="s">
        <v>749</v>
      </c>
      <c r="O468">
        <v>1</v>
      </c>
      <c r="P468" t="s">
        <v>32</v>
      </c>
      <c r="Q468" t="s">
        <v>33</v>
      </c>
      <c r="R468">
        <v>8.1999999999999993</v>
      </c>
      <c r="S468">
        <v>24.4</v>
      </c>
      <c r="T468">
        <v>6.7</v>
      </c>
    </row>
    <row r="469" spans="1:20" x14ac:dyDescent="0.3">
      <c r="A469" t="s">
        <v>754</v>
      </c>
      <c r="B469">
        <v>500</v>
      </c>
      <c r="C469">
        <v>500</v>
      </c>
      <c r="D469">
        <v>1.29</v>
      </c>
      <c r="E469">
        <v>285</v>
      </c>
      <c r="F469">
        <v>10</v>
      </c>
      <c r="G469" t="s">
        <v>755</v>
      </c>
      <c r="H469">
        <v>3.55</v>
      </c>
      <c r="I469">
        <v>5.68</v>
      </c>
      <c r="J469">
        <v>6.12</v>
      </c>
      <c r="K469">
        <v>0.72</v>
      </c>
      <c r="L469">
        <v>0.96</v>
      </c>
      <c r="M469">
        <v>3</v>
      </c>
      <c r="N469" t="s">
        <v>749</v>
      </c>
      <c r="O469">
        <v>5</v>
      </c>
      <c r="P469" t="s">
        <v>34</v>
      </c>
      <c r="Q469" t="s">
        <v>50</v>
      </c>
      <c r="R469">
        <v>12</v>
      </c>
      <c r="S469">
        <v>10.4</v>
      </c>
      <c r="T469">
        <v>4.4000000000000004</v>
      </c>
    </row>
    <row r="470" spans="1:20" x14ac:dyDescent="0.3">
      <c r="A470" t="s">
        <v>756</v>
      </c>
      <c r="B470">
        <v>500</v>
      </c>
      <c r="C470">
        <v>1000</v>
      </c>
      <c r="D470">
        <v>1.52</v>
      </c>
      <c r="E470">
        <v>685</v>
      </c>
      <c r="F470">
        <v>10</v>
      </c>
      <c r="G470" t="s">
        <v>757</v>
      </c>
      <c r="H470">
        <v>3</v>
      </c>
      <c r="I470">
        <v>-0.7</v>
      </c>
      <c r="J470">
        <v>16.2</v>
      </c>
      <c r="K470">
        <v>0.94</v>
      </c>
      <c r="L470">
        <v>0.95</v>
      </c>
      <c r="M470">
        <v>6</v>
      </c>
      <c r="N470" t="s">
        <v>749</v>
      </c>
      <c r="O470">
        <v>0</v>
      </c>
      <c r="P470" t="s">
        <v>29</v>
      </c>
      <c r="Q470" t="s">
        <v>30</v>
      </c>
      <c r="R470">
        <v>-3.3</v>
      </c>
      <c r="S470">
        <v>24.1</v>
      </c>
      <c r="T470">
        <v>10.1</v>
      </c>
    </row>
    <row r="471" spans="1:20" x14ac:dyDescent="0.3">
      <c r="A471" t="s">
        <v>758</v>
      </c>
      <c r="B471">
        <v>500</v>
      </c>
      <c r="C471">
        <v>5000</v>
      </c>
      <c r="D471">
        <v>1.68</v>
      </c>
      <c r="E471">
        <v>1506</v>
      </c>
      <c r="F471">
        <v>10</v>
      </c>
      <c r="G471" t="s">
        <v>759</v>
      </c>
      <c r="H471">
        <v>3.56</v>
      </c>
      <c r="I471">
        <v>4.97</v>
      </c>
      <c r="J471">
        <v>17.02</v>
      </c>
      <c r="K471">
        <v>0.96</v>
      </c>
      <c r="L471">
        <v>1.58</v>
      </c>
      <c r="M471">
        <v>6</v>
      </c>
      <c r="N471" t="s">
        <v>749</v>
      </c>
      <c r="O471">
        <v>2</v>
      </c>
      <c r="P471" t="s">
        <v>32</v>
      </c>
      <c r="Q471" t="s">
        <v>41</v>
      </c>
      <c r="R471">
        <v>4.0999999999999996</v>
      </c>
      <c r="S471">
        <v>30.7</v>
      </c>
      <c r="T471">
        <v>10.199999999999999</v>
      </c>
    </row>
    <row r="472" spans="1:20" x14ac:dyDescent="0.3">
      <c r="A472" t="s">
        <v>760</v>
      </c>
      <c r="B472">
        <v>500</v>
      </c>
      <c r="C472">
        <v>500</v>
      </c>
      <c r="D472">
        <v>0.23</v>
      </c>
      <c r="E472">
        <v>3092</v>
      </c>
      <c r="F472">
        <v>5</v>
      </c>
      <c r="G472" t="s">
        <v>751</v>
      </c>
      <c r="H472">
        <v>1.7</v>
      </c>
      <c r="I472">
        <v>1.63</v>
      </c>
      <c r="J472">
        <v>2.06</v>
      </c>
      <c r="K472">
        <v>0.74</v>
      </c>
      <c r="L472">
        <v>0.89</v>
      </c>
      <c r="M472">
        <v>2</v>
      </c>
      <c r="N472" t="s">
        <v>749</v>
      </c>
      <c r="O472">
        <v>3</v>
      </c>
      <c r="P472" t="s">
        <v>34</v>
      </c>
      <c r="Q472" t="s">
        <v>37</v>
      </c>
      <c r="R472">
        <v>4.2</v>
      </c>
      <c r="S472">
        <v>6.5</v>
      </c>
    </row>
    <row r="473" spans="1:20" x14ac:dyDescent="0.3">
      <c r="A473" t="s">
        <v>761</v>
      </c>
      <c r="B473">
        <v>500</v>
      </c>
      <c r="C473">
        <v>500</v>
      </c>
      <c r="D473">
        <v>0.81</v>
      </c>
      <c r="E473">
        <v>438</v>
      </c>
      <c r="F473">
        <v>10</v>
      </c>
      <c r="G473" t="s">
        <v>762</v>
      </c>
      <c r="H473">
        <v>0.68</v>
      </c>
      <c r="I473">
        <v>0.94</v>
      </c>
      <c r="J473">
        <v>10.47</v>
      </c>
      <c r="K473">
        <v>-2.54</v>
      </c>
      <c r="L473">
        <v>0.41</v>
      </c>
      <c r="M473">
        <v>4</v>
      </c>
      <c r="N473" t="s">
        <v>749</v>
      </c>
      <c r="O473">
        <v>4</v>
      </c>
      <c r="P473" t="s">
        <v>34</v>
      </c>
      <c r="Q473" t="s">
        <v>38</v>
      </c>
      <c r="R473">
        <v>5</v>
      </c>
      <c r="S473">
        <v>8.3000000000000007</v>
      </c>
      <c r="T473">
        <v>-0.9</v>
      </c>
    </row>
    <row r="474" spans="1:20" x14ac:dyDescent="0.3">
      <c r="A474" t="s">
        <v>763</v>
      </c>
      <c r="B474">
        <v>500</v>
      </c>
      <c r="C474">
        <v>5000</v>
      </c>
      <c r="D474">
        <v>1.45</v>
      </c>
      <c r="E474">
        <v>2786</v>
      </c>
      <c r="F474">
        <v>10</v>
      </c>
      <c r="G474" t="s">
        <v>764</v>
      </c>
      <c r="H474">
        <v>2.93</v>
      </c>
      <c r="I474">
        <v>1.9</v>
      </c>
      <c r="J474">
        <v>14.96</v>
      </c>
      <c r="K474">
        <v>0.82</v>
      </c>
      <c r="L474">
        <v>1.41</v>
      </c>
      <c r="M474">
        <v>6</v>
      </c>
      <c r="N474" t="s">
        <v>749</v>
      </c>
      <c r="O474">
        <v>0</v>
      </c>
      <c r="P474" t="s">
        <v>32</v>
      </c>
      <c r="Q474" t="s">
        <v>39</v>
      </c>
      <c r="R474">
        <v>-1.5</v>
      </c>
      <c r="S474">
        <v>26.8</v>
      </c>
      <c r="T474">
        <v>11.3</v>
      </c>
    </row>
    <row r="475" spans="1:20" x14ac:dyDescent="0.3">
      <c r="A475" t="s">
        <v>765</v>
      </c>
      <c r="B475">
        <v>500</v>
      </c>
      <c r="C475">
        <v>500</v>
      </c>
      <c r="D475">
        <v>0.81</v>
      </c>
      <c r="E475">
        <v>469</v>
      </c>
      <c r="F475">
        <v>10</v>
      </c>
      <c r="G475" t="s">
        <v>766</v>
      </c>
      <c r="H475">
        <v>4.4000000000000004</v>
      </c>
      <c r="I475">
        <v>6.35</v>
      </c>
      <c r="J475">
        <v>6.76</v>
      </c>
      <c r="K475">
        <v>0.56000000000000005</v>
      </c>
      <c r="L475">
        <v>0.96</v>
      </c>
      <c r="M475">
        <v>3</v>
      </c>
      <c r="N475" t="s">
        <v>749</v>
      </c>
      <c r="O475">
        <v>3</v>
      </c>
      <c r="P475" t="s">
        <v>34</v>
      </c>
      <c r="Q475" t="s">
        <v>40</v>
      </c>
      <c r="R475">
        <v>12.5</v>
      </c>
      <c r="S475">
        <v>11</v>
      </c>
      <c r="T475">
        <v>6.3</v>
      </c>
    </row>
    <row r="476" spans="1:20" x14ac:dyDescent="0.3">
      <c r="A476" t="s">
        <v>767</v>
      </c>
      <c r="B476">
        <v>0</v>
      </c>
      <c r="C476">
        <v>5000</v>
      </c>
      <c r="D476">
        <v>0.68</v>
      </c>
      <c r="E476">
        <v>257</v>
      </c>
      <c r="F476">
        <v>5</v>
      </c>
      <c r="G476" t="s">
        <v>759</v>
      </c>
      <c r="H476">
        <v>4.0599999999999996</v>
      </c>
      <c r="I476">
        <v>3.98</v>
      </c>
      <c r="J476">
        <v>5.99</v>
      </c>
      <c r="K476">
        <v>0.91</v>
      </c>
      <c r="L476">
        <v>1.75</v>
      </c>
      <c r="M476">
        <v>3</v>
      </c>
      <c r="N476" t="s">
        <v>749</v>
      </c>
      <c r="O476">
        <v>4</v>
      </c>
      <c r="P476" t="s">
        <v>27</v>
      </c>
      <c r="Q476" t="s">
        <v>43</v>
      </c>
      <c r="R476">
        <v>6.1</v>
      </c>
      <c r="S476">
        <v>14.7</v>
      </c>
    </row>
    <row r="477" spans="1:20" x14ac:dyDescent="0.3">
      <c r="A477" t="s">
        <v>772</v>
      </c>
      <c r="B477">
        <v>0</v>
      </c>
      <c r="C477">
        <v>5000</v>
      </c>
      <c r="D477">
        <v>0.33</v>
      </c>
      <c r="E477">
        <v>1926</v>
      </c>
      <c r="F477">
        <v>5</v>
      </c>
      <c r="G477" t="s">
        <v>771</v>
      </c>
      <c r="H477">
        <v>1.71</v>
      </c>
      <c r="I477">
        <v>-4.62</v>
      </c>
      <c r="J477">
        <v>18.16</v>
      </c>
      <c r="K477">
        <v>0.99</v>
      </c>
      <c r="L477">
        <v>0.97</v>
      </c>
      <c r="M477">
        <v>6</v>
      </c>
      <c r="N477" t="s">
        <v>749</v>
      </c>
      <c r="O477">
        <v>2</v>
      </c>
      <c r="P477" t="s">
        <v>23</v>
      </c>
      <c r="Q477" t="s">
        <v>56</v>
      </c>
      <c r="R477">
        <v>-6.4</v>
      </c>
      <c r="S477">
        <v>22.2</v>
      </c>
    </row>
    <row r="478" spans="1:20" x14ac:dyDescent="0.3">
      <c r="A478" t="s">
        <v>773</v>
      </c>
      <c r="B478">
        <v>500</v>
      </c>
      <c r="C478">
        <v>500</v>
      </c>
      <c r="D478">
        <v>7.0000000000000007E-2</v>
      </c>
      <c r="E478">
        <v>5600</v>
      </c>
      <c r="F478">
        <v>10</v>
      </c>
      <c r="G478" t="s">
        <v>770</v>
      </c>
      <c r="H478">
        <v>0.12</v>
      </c>
      <c r="I478">
        <v>0.6</v>
      </c>
      <c r="J478">
        <v>0.34</v>
      </c>
      <c r="K478">
        <v>0.44</v>
      </c>
      <c r="L478">
        <v>0.02</v>
      </c>
      <c r="M478">
        <v>1</v>
      </c>
      <c r="N478" t="s">
        <v>749</v>
      </c>
      <c r="O478">
        <v>3</v>
      </c>
      <c r="P478" t="s">
        <v>34</v>
      </c>
      <c r="Q478" t="s">
        <v>57</v>
      </c>
      <c r="R478">
        <v>5.4</v>
      </c>
      <c r="S478">
        <v>3.9</v>
      </c>
      <c r="T478">
        <v>4.5999999999999996</v>
      </c>
    </row>
    <row r="479" spans="1:20" x14ac:dyDescent="0.3">
      <c r="A479" t="s">
        <v>774</v>
      </c>
      <c r="B479">
        <v>500</v>
      </c>
      <c r="C479">
        <v>5000</v>
      </c>
      <c r="D479">
        <v>1.2</v>
      </c>
      <c r="E479">
        <v>1544</v>
      </c>
      <c r="F479">
        <v>10</v>
      </c>
      <c r="G479" t="s">
        <v>755</v>
      </c>
      <c r="H479">
        <v>4.07</v>
      </c>
      <c r="I479">
        <v>3.42</v>
      </c>
      <c r="J479">
        <v>5.0999999999999996</v>
      </c>
      <c r="K479">
        <v>0.73</v>
      </c>
      <c r="L479">
        <v>1.7</v>
      </c>
      <c r="M479">
        <v>4</v>
      </c>
      <c r="N479" t="s">
        <v>749</v>
      </c>
      <c r="O479">
        <v>3</v>
      </c>
      <c r="P479" t="s">
        <v>27</v>
      </c>
      <c r="Q479" t="s">
        <v>59</v>
      </c>
      <c r="R479">
        <v>3.7</v>
      </c>
      <c r="S479">
        <v>13.5</v>
      </c>
      <c r="T479">
        <v>7.2</v>
      </c>
    </row>
    <row r="480" spans="1:20" x14ac:dyDescent="0.3">
      <c r="A480" t="s">
        <v>775</v>
      </c>
      <c r="B480">
        <v>500</v>
      </c>
      <c r="C480">
        <v>500</v>
      </c>
      <c r="D480">
        <v>1.05</v>
      </c>
      <c r="E480">
        <v>3687</v>
      </c>
      <c r="F480">
        <v>10</v>
      </c>
      <c r="G480" t="s">
        <v>769</v>
      </c>
      <c r="H480">
        <v>3.59</v>
      </c>
      <c r="I480">
        <v>4.37</v>
      </c>
      <c r="J480">
        <v>6.72</v>
      </c>
      <c r="K480">
        <v>0.45</v>
      </c>
      <c r="L480">
        <v>1.88</v>
      </c>
      <c r="M480">
        <v>5</v>
      </c>
      <c r="N480" t="s">
        <v>749</v>
      </c>
      <c r="O480">
        <v>0</v>
      </c>
      <c r="P480" t="s">
        <v>29</v>
      </c>
      <c r="Q480" t="s">
        <v>60</v>
      </c>
      <c r="R480">
        <v>5.2</v>
      </c>
      <c r="S480">
        <v>17.2</v>
      </c>
      <c r="T480">
        <v>7.5</v>
      </c>
    </row>
    <row r="481" spans="1:20" x14ac:dyDescent="0.3">
      <c r="A481" t="s">
        <v>776</v>
      </c>
      <c r="B481">
        <v>500</v>
      </c>
      <c r="C481">
        <v>500</v>
      </c>
      <c r="D481">
        <v>0.33</v>
      </c>
      <c r="E481">
        <v>2269</v>
      </c>
      <c r="F481">
        <v>10</v>
      </c>
      <c r="G481" t="s">
        <v>766</v>
      </c>
      <c r="H481">
        <v>4.4000000000000004</v>
      </c>
      <c r="I481">
        <v>4.95</v>
      </c>
      <c r="J481">
        <v>2.91</v>
      </c>
      <c r="K481">
        <v>0.82</v>
      </c>
      <c r="L481">
        <v>1.33</v>
      </c>
      <c r="M481">
        <v>3</v>
      </c>
      <c r="N481" t="s">
        <v>749</v>
      </c>
      <c r="O481">
        <v>5</v>
      </c>
      <c r="P481" t="s">
        <v>34</v>
      </c>
      <c r="Q481" t="s">
        <v>62</v>
      </c>
      <c r="R481">
        <v>5</v>
      </c>
      <c r="S481">
        <v>8.5</v>
      </c>
      <c r="T481">
        <v>5.4</v>
      </c>
    </row>
    <row r="482" spans="1:20" x14ac:dyDescent="0.3">
      <c r="A482" t="s">
        <v>777</v>
      </c>
      <c r="B482">
        <v>500</v>
      </c>
      <c r="C482">
        <v>5000</v>
      </c>
      <c r="D482">
        <v>1.03</v>
      </c>
      <c r="E482">
        <v>1908</v>
      </c>
      <c r="F482">
        <v>10</v>
      </c>
      <c r="G482" t="s">
        <v>768</v>
      </c>
      <c r="H482">
        <v>3.56</v>
      </c>
      <c r="I482">
        <v>10.26</v>
      </c>
      <c r="J482">
        <v>18.98</v>
      </c>
      <c r="K482">
        <v>0.83</v>
      </c>
      <c r="L482">
        <v>1.57</v>
      </c>
      <c r="M482">
        <v>6</v>
      </c>
      <c r="N482" t="s">
        <v>749</v>
      </c>
      <c r="O482">
        <v>0</v>
      </c>
      <c r="P482" t="s">
        <v>32</v>
      </c>
      <c r="Q482" t="s">
        <v>33</v>
      </c>
      <c r="R482">
        <v>14.1</v>
      </c>
      <c r="S482">
        <v>32.9</v>
      </c>
      <c r="T482">
        <v>5.0999999999999996</v>
      </c>
    </row>
    <row r="483" spans="1:20" x14ac:dyDescent="0.3">
      <c r="A483" t="s">
        <v>778</v>
      </c>
      <c r="B483">
        <v>500</v>
      </c>
      <c r="C483">
        <v>500</v>
      </c>
      <c r="D483">
        <v>0.33</v>
      </c>
      <c r="E483">
        <v>2565</v>
      </c>
      <c r="F483">
        <v>10</v>
      </c>
      <c r="G483" t="s">
        <v>751</v>
      </c>
      <c r="H483">
        <v>6.28</v>
      </c>
      <c r="I483">
        <v>3.18</v>
      </c>
      <c r="J483">
        <v>2.63</v>
      </c>
      <c r="K483">
        <v>0.14000000000000001</v>
      </c>
      <c r="L483">
        <v>1.1399999999999999</v>
      </c>
      <c r="M483">
        <v>2</v>
      </c>
      <c r="N483" t="s">
        <v>749</v>
      </c>
      <c r="O483">
        <v>5</v>
      </c>
      <c r="P483" t="s">
        <v>34</v>
      </c>
      <c r="Q483" t="s">
        <v>52</v>
      </c>
      <c r="R483">
        <v>5.2</v>
      </c>
      <c r="S483">
        <v>7.3</v>
      </c>
      <c r="T483">
        <v>4.8</v>
      </c>
    </row>
    <row r="484" spans="1:20" x14ac:dyDescent="0.3">
      <c r="A484" t="s">
        <v>779</v>
      </c>
      <c r="B484">
        <v>500</v>
      </c>
      <c r="C484">
        <v>500</v>
      </c>
      <c r="D484">
        <v>0.44</v>
      </c>
      <c r="E484">
        <v>2130</v>
      </c>
      <c r="F484">
        <v>10</v>
      </c>
      <c r="G484" t="s">
        <v>762</v>
      </c>
      <c r="H484">
        <v>7.6</v>
      </c>
      <c r="I484">
        <v>2.62</v>
      </c>
      <c r="J484">
        <v>1.51</v>
      </c>
      <c r="K484">
        <v>0.49</v>
      </c>
      <c r="L484">
        <v>1.3</v>
      </c>
      <c r="M484">
        <v>3</v>
      </c>
      <c r="N484" t="s">
        <v>749</v>
      </c>
      <c r="O484">
        <v>5</v>
      </c>
      <c r="P484" t="s">
        <v>34</v>
      </c>
      <c r="Q484" t="s">
        <v>61</v>
      </c>
      <c r="R484">
        <v>5.4</v>
      </c>
      <c r="S484">
        <v>6.1</v>
      </c>
      <c r="T484">
        <v>5.7</v>
      </c>
    </row>
    <row r="485" spans="1:20" x14ac:dyDescent="0.3">
      <c r="A485" t="s">
        <v>780</v>
      </c>
      <c r="B485">
        <v>500</v>
      </c>
      <c r="C485">
        <v>15000</v>
      </c>
      <c r="D485">
        <v>0.96</v>
      </c>
      <c r="E485">
        <v>5068</v>
      </c>
      <c r="F485">
        <v>10</v>
      </c>
      <c r="G485" t="s">
        <v>755</v>
      </c>
      <c r="H485">
        <v>2.4700000000000002</v>
      </c>
      <c r="I485">
        <v>0.92</v>
      </c>
      <c r="J485">
        <v>7.06</v>
      </c>
      <c r="K485">
        <v>0.44</v>
      </c>
      <c r="L485">
        <v>1.29</v>
      </c>
      <c r="M485">
        <v>4</v>
      </c>
      <c r="N485" t="s">
        <v>749</v>
      </c>
      <c r="O485">
        <v>0</v>
      </c>
      <c r="P485" t="s">
        <v>27</v>
      </c>
      <c r="Q485" t="s">
        <v>31</v>
      </c>
      <c r="R485">
        <v>-0.7</v>
      </c>
      <c r="S485">
        <v>13.1</v>
      </c>
      <c r="T485">
        <v>6.2</v>
      </c>
    </row>
    <row r="486" spans="1:20" x14ac:dyDescent="0.3">
      <c r="A486" t="s">
        <v>781</v>
      </c>
      <c r="B486">
        <v>500</v>
      </c>
      <c r="C486">
        <v>5000</v>
      </c>
      <c r="D486">
        <v>1.1599999999999999</v>
      </c>
      <c r="E486">
        <v>6740</v>
      </c>
      <c r="F486">
        <v>10</v>
      </c>
      <c r="G486" t="s">
        <v>757</v>
      </c>
      <c r="H486">
        <v>3.21</v>
      </c>
      <c r="I486">
        <v>2.73</v>
      </c>
      <c r="J486">
        <v>15.62</v>
      </c>
      <c r="K486">
        <v>0.9</v>
      </c>
      <c r="L486">
        <v>1.48</v>
      </c>
      <c r="M486">
        <v>6</v>
      </c>
      <c r="N486" t="s">
        <v>749</v>
      </c>
      <c r="O486">
        <v>4</v>
      </c>
      <c r="P486" t="s">
        <v>32</v>
      </c>
      <c r="Q486" t="s">
        <v>58</v>
      </c>
      <c r="R486">
        <v>1.7</v>
      </c>
      <c r="S486">
        <v>27.2</v>
      </c>
      <c r="T486">
        <v>12.2</v>
      </c>
    </row>
    <row r="487" spans="1:20" x14ac:dyDescent="0.3">
      <c r="A487" t="s">
        <v>782</v>
      </c>
      <c r="B487">
        <v>500</v>
      </c>
      <c r="C487">
        <v>500</v>
      </c>
      <c r="D487">
        <v>0.26</v>
      </c>
      <c r="E487">
        <v>197</v>
      </c>
      <c r="F487">
        <v>4</v>
      </c>
      <c r="G487" t="s">
        <v>783</v>
      </c>
      <c r="H487">
        <v>-0.42</v>
      </c>
      <c r="I487">
        <v>0.93</v>
      </c>
      <c r="J487">
        <v>0.39</v>
      </c>
      <c r="K487">
        <v>0.72</v>
      </c>
      <c r="L487">
        <v>-7.0000000000000007E-2</v>
      </c>
      <c r="M487">
        <v>1</v>
      </c>
      <c r="N487" t="s">
        <v>784</v>
      </c>
      <c r="O487">
        <v>1</v>
      </c>
      <c r="P487" t="s">
        <v>34</v>
      </c>
      <c r="Q487" t="s">
        <v>51</v>
      </c>
      <c r="R487">
        <v>5.3</v>
      </c>
      <c r="S487">
        <v>3.8</v>
      </c>
    </row>
    <row r="488" spans="1:20" x14ac:dyDescent="0.3">
      <c r="A488" t="s">
        <v>785</v>
      </c>
      <c r="B488">
        <v>500</v>
      </c>
      <c r="C488">
        <v>500</v>
      </c>
      <c r="D488">
        <v>0.22</v>
      </c>
      <c r="E488">
        <v>14</v>
      </c>
      <c r="F488">
        <v>4</v>
      </c>
      <c r="G488" t="s">
        <v>783</v>
      </c>
      <c r="H488">
        <v>-0.42</v>
      </c>
      <c r="I488">
        <v>0.93</v>
      </c>
      <c r="J488">
        <v>0.39</v>
      </c>
      <c r="K488">
        <v>0.72</v>
      </c>
      <c r="L488">
        <v>-7.0000000000000007E-2</v>
      </c>
      <c r="M488">
        <v>1</v>
      </c>
      <c r="N488" t="s">
        <v>784</v>
      </c>
      <c r="O488">
        <v>1</v>
      </c>
      <c r="P488" t="s">
        <v>34</v>
      </c>
      <c r="Q488" t="s">
        <v>57</v>
      </c>
      <c r="R488">
        <v>1.7</v>
      </c>
      <c r="S488">
        <v>32.4</v>
      </c>
      <c r="T488">
        <v>13.3</v>
      </c>
    </row>
    <row r="489" spans="1:20" x14ac:dyDescent="0.3">
      <c r="A489" t="s">
        <v>786</v>
      </c>
      <c r="B489">
        <v>500</v>
      </c>
      <c r="C489">
        <v>500</v>
      </c>
      <c r="D489">
        <v>0.33</v>
      </c>
      <c r="E489">
        <v>141</v>
      </c>
      <c r="F489">
        <v>4</v>
      </c>
      <c r="G489" t="s">
        <v>783</v>
      </c>
      <c r="H489">
        <v>2.81</v>
      </c>
      <c r="I489">
        <v>1.2</v>
      </c>
      <c r="J489">
        <v>0.72</v>
      </c>
      <c r="K489">
        <v>0.47</v>
      </c>
      <c r="L489">
        <v>0.8</v>
      </c>
      <c r="M489">
        <v>1</v>
      </c>
      <c r="N489" t="s">
        <v>784</v>
      </c>
      <c r="O489">
        <v>2</v>
      </c>
      <c r="P489" t="s">
        <v>34</v>
      </c>
      <c r="Q489" t="s">
        <v>61</v>
      </c>
      <c r="R489">
        <v>5.3</v>
      </c>
      <c r="S489">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G5" sqref="G5"/>
    </sheetView>
  </sheetViews>
  <sheetFormatPr defaultRowHeight="14.4" x14ac:dyDescent="0.3"/>
  <cols>
    <col min="1" max="1" width="35.21875" bestFit="1" customWidth="1"/>
    <col min="2" max="2" width="19.77734375" bestFit="1" customWidth="1"/>
  </cols>
  <sheetData>
    <row r="1" spans="1:2" x14ac:dyDescent="0.3">
      <c r="A1" s="2" t="s">
        <v>794</v>
      </c>
      <c r="B1" t="s">
        <v>792</v>
      </c>
    </row>
    <row r="2" spans="1:2" x14ac:dyDescent="0.3">
      <c r="A2" s="3" t="s">
        <v>65</v>
      </c>
      <c r="B2" s="1">
        <v>5000</v>
      </c>
    </row>
    <row r="3" spans="1:2" x14ac:dyDescent="0.3">
      <c r="A3" s="3" t="s">
        <v>178</v>
      </c>
      <c r="B3" s="1">
        <v>10000</v>
      </c>
    </row>
    <row r="4" spans="1:2" x14ac:dyDescent="0.3">
      <c r="A4" s="3" t="s">
        <v>180</v>
      </c>
      <c r="B4" s="1">
        <v>10000</v>
      </c>
    </row>
    <row r="5" spans="1:2" x14ac:dyDescent="0.3">
      <c r="A5" s="3" t="s">
        <v>193</v>
      </c>
      <c r="B5" s="1">
        <v>10000</v>
      </c>
    </row>
    <row r="6" spans="1:2" x14ac:dyDescent="0.3">
      <c r="A6" s="3" t="s">
        <v>233</v>
      </c>
      <c r="B6" s="1">
        <v>10000</v>
      </c>
    </row>
    <row r="7" spans="1:2" x14ac:dyDescent="0.3">
      <c r="A7" s="3" t="s">
        <v>298</v>
      </c>
      <c r="B7" s="1">
        <v>10000</v>
      </c>
    </row>
    <row r="8" spans="1:2" x14ac:dyDescent="0.3">
      <c r="A8" s="3" t="s">
        <v>420</v>
      </c>
      <c r="B8" s="1">
        <v>10000</v>
      </c>
    </row>
    <row r="9" spans="1:2" x14ac:dyDescent="0.3">
      <c r="A9" s="3" t="s">
        <v>582</v>
      </c>
      <c r="B9" s="1">
        <v>10000</v>
      </c>
    </row>
    <row r="10" spans="1:2" x14ac:dyDescent="0.3">
      <c r="A10" s="3" t="s">
        <v>657</v>
      </c>
      <c r="B10" s="1">
        <v>10100</v>
      </c>
    </row>
    <row r="11" spans="1:2" x14ac:dyDescent="0.3">
      <c r="A11" s="3" t="s">
        <v>780</v>
      </c>
      <c r="B11" s="1">
        <v>15000</v>
      </c>
    </row>
    <row r="12" spans="1:2" x14ac:dyDescent="0.3">
      <c r="A12" s="3" t="s">
        <v>795</v>
      </c>
      <c r="B12" s="1">
        <v>100100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F22"/>
  <sheetViews>
    <sheetView topLeftCell="A3" workbookViewId="0">
      <selection activeCell="P13" sqref="P13"/>
    </sheetView>
  </sheetViews>
  <sheetFormatPr defaultRowHeight="14.4" x14ac:dyDescent="0.3"/>
  <cols>
    <col min="2" max="2" width="20.44140625" bestFit="1" customWidth="1"/>
    <col min="3" max="4" width="17.77734375" bestFit="1" customWidth="1"/>
    <col min="5" max="5" width="19.77734375" bestFit="1" customWidth="1"/>
  </cols>
  <sheetData>
    <row r="8" spans="2:6" x14ac:dyDescent="0.3">
      <c r="B8" s="2" t="s">
        <v>794</v>
      </c>
      <c r="C8" t="s">
        <v>796</v>
      </c>
    </row>
    <row r="9" spans="2:6" x14ac:dyDescent="0.3">
      <c r="B9" s="3" t="s">
        <v>484</v>
      </c>
      <c r="C9" s="1">
        <v>44</v>
      </c>
    </row>
    <row r="10" spans="2:6" x14ac:dyDescent="0.3">
      <c r="B10" s="3" t="s">
        <v>276</v>
      </c>
      <c r="C10" s="1">
        <v>66</v>
      </c>
    </row>
    <row r="11" spans="2:6" x14ac:dyDescent="0.3">
      <c r="B11" s="3" t="s">
        <v>367</v>
      </c>
      <c r="C11" s="1">
        <v>107</v>
      </c>
    </row>
    <row r="12" spans="2:6" x14ac:dyDescent="0.3">
      <c r="B12" s="3" t="s">
        <v>627</v>
      </c>
      <c r="C12" s="1">
        <v>70</v>
      </c>
      <c r="E12" s="3" t="s">
        <v>484</v>
      </c>
      <c r="F12" s="1">
        <v>44</v>
      </c>
    </row>
    <row r="13" spans="2:6" x14ac:dyDescent="0.3">
      <c r="B13" s="3" t="s">
        <v>352</v>
      </c>
      <c r="C13" s="1">
        <v>70</v>
      </c>
      <c r="E13" s="3" t="s">
        <v>276</v>
      </c>
      <c r="F13" s="1">
        <v>66</v>
      </c>
    </row>
    <row r="14" spans="2:6" x14ac:dyDescent="0.3">
      <c r="B14" s="3" t="s">
        <v>252</v>
      </c>
      <c r="C14" s="1">
        <v>50</v>
      </c>
      <c r="E14" s="3" t="s">
        <v>367</v>
      </c>
      <c r="F14" s="1">
        <v>107</v>
      </c>
    </row>
    <row r="15" spans="2:6" x14ac:dyDescent="0.3">
      <c r="B15" s="3" t="s">
        <v>587</v>
      </c>
      <c r="C15" s="1">
        <v>65</v>
      </c>
      <c r="E15" s="3" t="s">
        <v>627</v>
      </c>
      <c r="F15" s="1">
        <v>70</v>
      </c>
    </row>
    <row r="16" spans="2:6" x14ac:dyDescent="0.3">
      <c r="B16" s="3" t="s">
        <v>224</v>
      </c>
      <c r="C16" s="1">
        <v>51</v>
      </c>
      <c r="E16" s="3" t="s">
        <v>352</v>
      </c>
      <c r="F16" s="1">
        <v>70</v>
      </c>
    </row>
    <row r="17" spans="2:6" x14ac:dyDescent="0.3">
      <c r="B17" s="3" t="s">
        <v>624</v>
      </c>
      <c r="C17" s="1">
        <v>113</v>
      </c>
      <c r="E17" s="3" t="s">
        <v>252</v>
      </c>
      <c r="F17" s="1">
        <v>50</v>
      </c>
    </row>
    <row r="18" spans="2:6" x14ac:dyDescent="0.3">
      <c r="B18" s="3" t="s">
        <v>542</v>
      </c>
      <c r="C18" s="1">
        <v>70</v>
      </c>
      <c r="E18" s="3" t="s">
        <v>587</v>
      </c>
      <c r="F18" s="1">
        <v>65</v>
      </c>
    </row>
    <row r="19" spans="2:6" x14ac:dyDescent="0.3">
      <c r="B19" s="3" t="s">
        <v>795</v>
      </c>
      <c r="C19" s="1">
        <v>706</v>
      </c>
      <c r="E19" s="3" t="s">
        <v>224</v>
      </c>
      <c r="F19" s="1">
        <v>51</v>
      </c>
    </row>
    <row r="20" spans="2:6" x14ac:dyDescent="0.3">
      <c r="E20" s="3" t="s">
        <v>624</v>
      </c>
      <c r="F20" s="1">
        <v>113</v>
      </c>
    </row>
    <row r="21" spans="2:6" x14ac:dyDescent="0.3">
      <c r="E21" s="3" t="s">
        <v>542</v>
      </c>
      <c r="F21" s="1">
        <v>70</v>
      </c>
    </row>
    <row r="22" spans="2:6" x14ac:dyDescent="0.3">
      <c r="E22" s="4" t="s">
        <v>795</v>
      </c>
      <c r="F22" s="5">
        <v>706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F17"/>
  <sheetViews>
    <sheetView topLeftCell="C1" workbookViewId="0">
      <selection activeCell="H19" sqref="H19"/>
    </sheetView>
  </sheetViews>
  <sheetFormatPr defaultRowHeight="14.4" x14ac:dyDescent="0.3"/>
  <cols>
    <col min="3" max="3" width="27.5546875" bestFit="1" customWidth="1"/>
    <col min="4" max="6" width="17.33203125" bestFit="1" customWidth="1"/>
  </cols>
  <sheetData>
    <row r="6" spans="3:6" x14ac:dyDescent="0.3">
      <c r="C6" s="2" t="s">
        <v>794</v>
      </c>
      <c r="D6" t="s">
        <v>798</v>
      </c>
      <c r="E6" t="s">
        <v>799</v>
      </c>
      <c r="F6" t="s">
        <v>797</v>
      </c>
    </row>
    <row r="7" spans="3:6" x14ac:dyDescent="0.3">
      <c r="C7" s="3" t="s">
        <v>173</v>
      </c>
      <c r="D7" s="1">
        <v>332</v>
      </c>
      <c r="E7" s="1">
        <v>149.40000000000003</v>
      </c>
      <c r="F7" s="1">
        <v>71.3</v>
      </c>
    </row>
    <row r="8" spans="3:6" x14ac:dyDescent="0.3">
      <c r="C8" s="3" t="s">
        <v>195</v>
      </c>
      <c r="D8" s="1">
        <v>307.3</v>
      </c>
      <c r="E8" s="1">
        <v>154</v>
      </c>
      <c r="F8" s="1">
        <v>125.4</v>
      </c>
    </row>
    <row r="9" spans="3:6" x14ac:dyDescent="0.3">
      <c r="C9" s="3" t="s">
        <v>222</v>
      </c>
      <c r="D9" s="1">
        <v>354.7000000000001</v>
      </c>
      <c r="E9" s="1">
        <v>164.10000000000002</v>
      </c>
      <c r="F9" s="1">
        <v>61.2</v>
      </c>
    </row>
    <row r="10" spans="3:6" x14ac:dyDescent="0.3">
      <c r="C10" s="3" t="s">
        <v>277</v>
      </c>
      <c r="D10" s="1">
        <v>335.40000000000003</v>
      </c>
      <c r="E10" s="1">
        <v>121.20000000000002</v>
      </c>
      <c r="F10" s="1">
        <v>15.9</v>
      </c>
    </row>
    <row r="11" spans="3:6" x14ac:dyDescent="0.3">
      <c r="C11" s="3" t="s">
        <v>365</v>
      </c>
      <c r="D11" s="1">
        <v>523.70000000000005</v>
      </c>
      <c r="E11" s="1">
        <v>286.69999999999993</v>
      </c>
      <c r="F11" s="1">
        <v>184.1</v>
      </c>
    </row>
    <row r="12" spans="3:6" x14ac:dyDescent="0.3">
      <c r="C12" s="3" t="s">
        <v>543</v>
      </c>
      <c r="D12" s="1">
        <v>478.5</v>
      </c>
      <c r="E12" s="1">
        <v>197.2</v>
      </c>
      <c r="F12" s="1">
        <v>64.099999999999994</v>
      </c>
    </row>
    <row r="13" spans="3:6" x14ac:dyDescent="0.3">
      <c r="C13" s="3" t="s">
        <v>569</v>
      </c>
      <c r="D13" s="1">
        <v>731.3</v>
      </c>
      <c r="E13" s="1">
        <v>337.00000000000006</v>
      </c>
      <c r="F13" s="1">
        <v>143.19999999999999</v>
      </c>
    </row>
    <row r="14" spans="3:6" x14ac:dyDescent="0.3">
      <c r="C14" s="3" t="s">
        <v>622</v>
      </c>
      <c r="D14" s="1">
        <v>992.09999999999991</v>
      </c>
      <c r="E14" s="1">
        <v>251.00000000000003</v>
      </c>
      <c r="F14" s="1">
        <v>163.19999999999999</v>
      </c>
    </row>
    <row r="15" spans="3:6" x14ac:dyDescent="0.3">
      <c r="C15" s="3" t="s">
        <v>667</v>
      </c>
      <c r="D15" s="1">
        <v>525.9</v>
      </c>
      <c r="E15" s="1">
        <v>219.00000000000003</v>
      </c>
      <c r="F15" s="1">
        <v>72.3</v>
      </c>
    </row>
    <row r="16" spans="3:6" x14ac:dyDescent="0.3">
      <c r="C16" s="3" t="s">
        <v>749</v>
      </c>
      <c r="D16" s="1">
        <v>321.40000000000003</v>
      </c>
      <c r="E16" s="1">
        <v>117.9</v>
      </c>
      <c r="F16" s="1">
        <v>102.3</v>
      </c>
    </row>
    <row r="17" spans="3:6" x14ac:dyDescent="0.3">
      <c r="C17" s="3" t="s">
        <v>795</v>
      </c>
      <c r="D17" s="1">
        <v>4902.2999999999984</v>
      </c>
      <c r="E17" s="1">
        <v>1997.4999999999993</v>
      </c>
      <c r="F17" s="1">
        <v>1003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8:D14"/>
  <sheetViews>
    <sheetView workbookViewId="0">
      <selection activeCell="C11" sqref="C11"/>
    </sheetView>
  </sheetViews>
  <sheetFormatPr defaultRowHeight="14.4" x14ac:dyDescent="0.3"/>
  <cols>
    <col min="3" max="3" width="15.33203125" bestFit="1" customWidth="1"/>
    <col min="4" max="4" width="16.21875" bestFit="1" customWidth="1"/>
  </cols>
  <sheetData>
    <row r="8" spans="3:4" x14ac:dyDescent="0.3">
      <c r="C8" s="2" t="s">
        <v>794</v>
      </c>
      <c r="D8" t="s">
        <v>801</v>
      </c>
    </row>
    <row r="9" spans="3:4" x14ac:dyDescent="0.3">
      <c r="C9" s="3" t="s">
        <v>34</v>
      </c>
      <c r="D9" s="1">
        <v>163</v>
      </c>
    </row>
    <row r="10" spans="3:4" x14ac:dyDescent="0.3">
      <c r="C10" s="3" t="s">
        <v>32</v>
      </c>
      <c r="D10" s="1">
        <v>194</v>
      </c>
    </row>
    <row r="11" spans="3:4" x14ac:dyDescent="0.3">
      <c r="C11" s="3" t="s">
        <v>27</v>
      </c>
      <c r="D11" s="1">
        <v>86</v>
      </c>
    </row>
    <row r="12" spans="3:4" x14ac:dyDescent="0.3">
      <c r="C12" s="3" t="s">
        <v>23</v>
      </c>
      <c r="D12" s="1">
        <v>38</v>
      </c>
    </row>
    <row r="13" spans="3:4" x14ac:dyDescent="0.3">
      <c r="C13" s="3" t="s">
        <v>29</v>
      </c>
      <c r="D13" s="1">
        <v>7</v>
      </c>
    </row>
    <row r="14" spans="3:4" x14ac:dyDescent="0.3">
      <c r="C14" s="3" t="s">
        <v>795</v>
      </c>
      <c r="D14" s="1">
        <v>488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8:D14"/>
  <sheetViews>
    <sheetView topLeftCell="C1" workbookViewId="0">
      <selection activeCell="O4" sqref="O4"/>
    </sheetView>
  </sheetViews>
  <sheetFormatPr defaultRowHeight="14.4" x14ac:dyDescent="0.3"/>
  <cols>
    <col min="3" max="4" width="15.33203125" bestFit="1" customWidth="1"/>
    <col min="5" max="10" width="4.33203125" bestFit="1" customWidth="1"/>
    <col min="11" max="11" width="3.33203125" bestFit="1" customWidth="1"/>
    <col min="12" max="13" width="4.33203125" bestFit="1" customWidth="1"/>
    <col min="14" max="14" width="4" bestFit="1" customWidth="1"/>
    <col min="15" max="23" width="4.33203125" bestFit="1" customWidth="1"/>
    <col min="24" max="24" width="3.33203125" bestFit="1" customWidth="1"/>
    <col min="25" max="31" width="4.33203125" bestFit="1" customWidth="1"/>
    <col min="32" max="32" width="5" bestFit="1" customWidth="1"/>
    <col min="33" max="34" width="4.33203125" bestFit="1" customWidth="1"/>
    <col min="35" max="35" width="3.33203125" bestFit="1" customWidth="1"/>
    <col min="36" max="44" width="4.33203125" bestFit="1" customWidth="1"/>
    <col min="45" max="45" width="3.33203125" bestFit="1" customWidth="1"/>
    <col min="46" max="53" width="4.33203125" bestFit="1" customWidth="1"/>
    <col min="54" max="54" width="5" bestFit="1" customWidth="1"/>
    <col min="55" max="55" width="4.33203125" bestFit="1" customWidth="1"/>
    <col min="56" max="56" width="3.33203125" bestFit="1" customWidth="1"/>
    <col min="57" max="65" width="4.33203125" bestFit="1" customWidth="1"/>
    <col min="66" max="66" width="3.33203125" bestFit="1" customWidth="1"/>
    <col min="67" max="75" width="4.33203125" bestFit="1" customWidth="1"/>
    <col min="76" max="76" width="5" bestFit="1" customWidth="1"/>
    <col min="77" max="77" width="1.77734375" bestFit="1" customWidth="1"/>
    <col min="78" max="92" width="4.33203125" bestFit="1" customWidth="1"/>
    <col min="93" max="93" width="3.33203125" bestFit="1" customWidth="1"/>
    <col min="94" max="103" width="4.33203125" bestFit="1" customWidth="1"/>
    <col min="104" max="105" width="5" bestFit="1" customWidth="1"/>
    <col min="106" max="106" width="4.33203125" bestFit="1" customWidth="1"/>
    <col min="107" max="107" width="5" bestFit="1" customWidth="1"/>
    <col min="108" max="118" width="4.33203125" bestFit="1" customWidth="1"/>
    <col min="119" max="119" width="5" bestFit="1" customWidth="1"/>
    <col min="120" max="120" width="3.33203125" bestFit="1" customWidth="1"/>
    <col min="121" max="121" width="4.33203125" bestFit="1" customWidth="1"/>
    <col min="122" max="122" width="5" bestFit="1" customWidth="1"/>
    <col min="123" max="123" width="4.33203125" bestFit="1" customWidth="1"/>
    <col min="124" max="124" width="5" bestFit="1" customWidth="1"/>
    <col min="125" max="129" width="4.33203125" bestFit="1" customWidth="1"/>
    <col min="130" max="130" width="3.33203125" bestFit="1" customWidth="1"/>
    <col min="131" max="131" width="10.77734375" bestFit="1" customWidth="1"/>
  </cols>
  <sheetData>
    <row r="8" spans="3:4" x14ac:dyDescent="0.3">
      <c r="C8" s="2" t="s">
        <v>794</v>
      </c>
      <c r="D8" t="s">
        <v>789</v>
      </c>
    </row>
    <row r="9" spans="3:4" x14ac:dyDescent="0.3">
      <c r="C9" s="3" t="s">
        <v>34</v>
      </c>
      <c r="D9" s="1">
        <v>404</v>
      </c>
    </row>
    <row r="10" spans="3:4" x14ac:dyDescent="0.3">
      <c r="C10" s="3" t="s">
        <v>32</v>
      </c>
      <c r="D10" s="1">
        <v>1148</v>
      </c>
    </row>
    <row r="11" spans="3:4" x14ac:dyDescent="0.3">
      <c r="C11" s="3" t="s">
        <v>27</v>
      </c>
      <c r="D11" s="1">
        <v>343</v>
      </c>
    </row>
    <row r="12" spans="3:4" x14ac:dyDescent="0.3">
      <c r="C12" s="3" t="s">
        <v>23</v>
      </c>
      <c r="D12" s="1">
        <v>204</v>
      </c>
    </row>
    <row r="13" spans="3:4" x14ac:dyDescent="0.3">
      <c r="C13" s="3" t="s">
        <v>29</v>
      </c>
      <c r="D13" s="1">
        <v>39</v>
      </c>
    </row>
    <row r="14" spans="3:4" x14ac:dyDescent="0.3">
      <c r="C14" s="3" t="s">
        <v>795</v>
      </c>
      <c r="D14" s="1">
        <v>2138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83" zoomScaleNormal="83" workbookViewId="0">
      <selection activeCell="AA26" sqref="AA26"/>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8:K15"/>
  <sheetViews>
    <sheetView workbookViewId="0">
      <selection activeCell="K15" sqref="K15"/>
    </sheetView>
  </sheetViews>
  <sheetFormatPr defaultRowHeight="14.4" x14ac:dyDescent="0.3"/>
  <cols>
    <col min="6" max="6" width="21.109375" bestFit="1" customWidth="1"/>
    <col min="7" max="7" width="23" bestFit="1" customWidth="1"/>
    <col min="8" max="8" width="18.5546875" customWidth="1"/>
    <col min="9" max="9" width="22.6640625" bestFit="1" customWidth="1"/>
    <col min="10" max="10" width="21.5546875" bestFit="1" customWidth="1"/>
    <col min="11" max="11" width="21.33203125" bestFit="1" customWidth="1"/>
  </cols>
  <sheetData>
    <row r="8" spans="6:11" x14ac:dyDescent="0.3">
      <c r="F8" t="s">
        <v>788</v>
      </c>
    </row>
    <row r="9" spans="6:11" x14ac:dyDescent="0.3">
      <c r="F9" s="1">
        <v>488</v>
      </c>
    </row>
    <row r="12" spans="6:11" x14ac:dyDescent="0.3">
      <c r="I12" t="s">
        <v>800</v>
      </c>
    </row>
    <row r="14" spans="6:11" x14ac:dyDescent="0.3">
      <c r="G14" t="s">
        <v>793</v>
      </c>
      <c r="H14" t="s">
        <v>790</v>
      </c>
      <c r="I14" t="s">
        <v>791</v>
      </c>
      <c r="J14" t="s">
        <v>788</v>
      </c>
      <c r="K14" t="s">
        <v>787</v>
      </c>
    </row>
    <row r="15" spans="6:11" x14ac:dyDescent="0.3">
      <c r="G15" s="8">
        <v>3201.9262295081967</v>
      </c>
      <c r="H15" s="8">
        <v>4.3811475409836067</v>
      </c>
      <c r="I15" s="7">
        <v>0.71256147540983605</v>
      </c>
      <c r="J15" s="1">
        <v>488</v>
      </c>
      <c r="K15" s="1">
        <v>488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comprehensive_mutual_funds_data</vt:lpstr>
      <vt:lpstr>column chart</vt:lpstr>
      <vt:lpstr>Tree map</vt:lpstr>
      <vt:lpstr>line chart</vt:lpstr>
      <vt:lpstr>Pie chart</vt:lpstr>
      <vt:lpstr>Doughnut chart</vt:lpstr>
      <vt:lpstr>Dashboard</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intel</dc:creator>
  <cp:lastModifiedBy>intel</cp:lastModifiedBy>
  <dcterms:created xsi:type="dcterms:W3CDTF">2025-07-27T19:43:40Z</dcterms:created>
  <dcterms:modified xsi:type="dcterms:W3CDTF">2025-11-23T13:22:41Z</dcterms:modified>
</cp:coreProperties>
</file>